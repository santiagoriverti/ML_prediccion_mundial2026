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1_4ADEC7E3981F1F4C5539D8A0FD356DEC10FBA236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J33" i="7"/>
  <c r="H33" i="7"/>
  <c r="I33" i="7" s="1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J72" i="7"/>
  <c r="I72" i="7"/>
  <c r="I71" i="7"/>
  <c r="J71" i="7"/>
  <c r="J70" i="7"/>
  <c r="I70" i="7"/>
  <c r="I69" i="7"/>
  <c r="J69" i="7"/>
  <c r="I68" i="7"/>
  <c r="J68" i="7"/>
  <c r="I67" i="7"/>
  <c r="J67" i="7"/>
  <c r="I66" i="7"/>
  <c r="J66" i="7"/>
  <c r="J65" i="7"/>
  <c r="I65" i="7"/>
  <c r="I64" i="7"/>
  <c r="J64" i="7"/>
  <c r="I63" i="7"/>
  <c r="J63" i="7"/>
  <c r="J62" i="7"/>
  <c r="I62" i="7"/>
  <c r="I61" i="7"/>
  <c r="J61" i="7"/>
  <c r="I60" i="7"/>
  <c r="J60" i="7"/>
  <c r="J59" i="7"/>
  <c r="I59" i="7"/>
  <c r="I58" i="7"/>
  <c r="J58" i="7"/>
  <c r="I57" i="7"/>
  <c r="J57" i="7"/>
  <c r="J56" i="7"/>
  <c r="I56" i="7"/>
  <c r="J55" i="7"/>
  <c r="I55" i="7"/>
  <c r="J54" i="7"/>
  <c r="I54" i="7"/>
  <c r="J53" i="7"/>
  <c r="I53" i="7"/>
  <c r="J52" i="7"/>
  <c r="I52" i="7"/>
  <c r="I51" i="7"/>
  <c r="J51" i="7"/>
  <c r="I50" i="7"/>
  <c r="J50" i="7"/>
  <c r="J49" i="7"/>
  <c r="I49" i="7"/>
  <c r="J48" i="7"/>
  <c r="I48" i="7"/>
  <c r="I47" i="7"/>
  <c r="J47" i="7"/>
  <c r="J46" i="7"/>
  <c r="I46" i="7"/>
  <c r="I45" i="7"/>
  <c r="J45" i="7"/>
  <c r="I44" i="7"/>
  <c r="J44" i="7"/>
  <c r="I43" i="7"/>
  <c r="J43" i="7"/>
  <c r="J42" i="7"/>
  <c r="I42" i="7"/>
  <c r="J41" i="7"/>
  <c r="I41" i="7"/>
  <c r="J40" i="7"/>
  <c r="I40" i="7"/>
  <c r="J39" i="7"/>
  <c r="I39" i="7"/>
  <c r="J38" i="7"/>
  <c r="I38" i="7"/>
  <c r="J37" i="7"/>
  <c r="I37" i="7"/>
  <c r="I36" i="7"/>
  <c r="J36" i="7"/>
  <c r="J35" i="7"/>
  <c r="I35" i="7"/>
  <c r="D41" i="8"/>
  <c r="I40" i="8"/>
  <c r="F40" i="8"/>
  <c r="H39" i="8"/>
  <c r="E39" i="8"/>
  <c r="G38" i="8"/>
  <c r="D38" i="8"/>
  <c r="I37" i="8"/>
  <c r="F37" i="8"/>
  <c r="H36" i="8"/>
  <c r="F36" i="8"/>
  <c r="H35" i="8"/>
  <c r="E35" i="8"/>
  <c r="G34" i="8"/>
  <c r="D34" i="8"/>
  <c r="I33" i="8"/>
  <c r="F33" i="8"/>
  <c r="H32" i="8"/>
  <c r="E32" i="8"/>
  <c r="I50" i="8"/>
  <c r="D31" i="8"/>
  <c r="I30" i="8"/>
  <c r="F30" i="8"/>
  <c r="G29" i="8"/>
  <c r="D29" i="8"/>
  <c r="H28" i="8"/>
  <c r="E28" i="8"/>
  <c r="G27" i="8"/>
  <c r="D27" i="8"/>
  <c r="I26" i="8"/>
  <c r="E26" i="8"/>
  <c r="H25" i="8"/>
  <c r="F25" i="8"/>
  <c r="I24" i="8"/>
  <c r="F24" i="8"/>
  <c r="I23" i="8"/>
  <c r="F23" i="8"/>
  <c r="H22" i="8"/>
  <c r="E22" i="8"/>
  <c r="G21" i="8"/>
  <c r="D21" i="8"/>
  <c r="I20" i="8"/>
  <c r="F20" i="8"/>
  <c r="I6" i="8"/>
  <c r="E6" i="8"/>
  <c r="F5" i="8"/>
  <c r="H4" i="8"/>
  <c r="D4" i="8"/>
  <c r="G3" i="8"/>
  <c r="G31" i="8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D7" i="8"/>
  <c r="F6" i="8"/>
  <c r="H5" i="8"/>
  <c r="J5" i="8" s="1"/>
  <c r="D5" i="8"/>
  <c r="G4" i="8"/>
  <c r="I3" i="8"/>
  <c r="E3" i="8"/>
  <c r="J34" i="7"/>
  <c r="D22" i="8"/>
  <c r="F47" i="8"/>
  <c r="H46" i="8"/>
  <c r="D46" i="8"/>
  <c r="I45" i="8"/>
  <c r="F45" i="8"/>
  <c r="G44" i="8"/>
  <c r="D44" i="8"/>
  <c r="G43" i="8"/>
  <c r="D43" i="8"/>
  <c r="I42" i="8"/>
  <c r="F42" i="8"/>
  <c r="H41" i="8"/>
  <c r="E41" i="8"/>
  <c r="G40" i="8"/>
  <c r="D40" i="8"/>
  <c r="I39" i="8"/>
  <c r="F39" i="8"/>
  <c r="H38" i="8"/>
  <c r="E38" i="8"/>
  <c r="G37" i="8"/>
  <c r="D37" i="8"/>
  <c r="I36" i="8"/>
  <c r="E36" i="8"/>
  <c r="K36" i="8" s="1"/>
  <c r="G35" i="8"/>
  <c r="D35" i="8"/>
  <c r="I34" i="8"/>
  <c r="F34" i="8"/>
  <c r="G33" i="8"/>
  <c r="D33" i="8"/>
  <c r="I32" i="8"/>
  <c r="F32" i="8"/>
  <c r="I31" i="8"/>
  <c r="F31" i="8"/>
  <c r="H30" i="8"/>
  <c r="J30" i="8" s="1"/>
  <c r="E30" i="8"/>
  <c r="K30" i="8" s="1"/>
  <c r="H29" i="8"/>
  <c r="E29" i="8"/>
  <c r="G28" i="8"/>
  <c r="D28" i="8"/>
  <c r="H27" i="8"/>
  <c r="E27" i="8"/>
  <c r="G26" i="8"/>
  <c r="D26" i="8"/>
  <c r="G25" i="8"/>
  <c r="E25" i="8"/>
  <c r="K25" i="8" s="1"/>
  <c r="G24" i="8"/>
  <c r="D24" i="8"/>
  <c r="H23" i="8"/>
  <c r="J23" i="8" s="1"/>
  <c r="E23" i="8"/>
  <c r="K23" i="8" s="1"/>
  <c r="G22" i="8"/>
  <c r="H21" i="8"/>
  <c r="E21" i="8"/>
  <c r="G20" i="8"/>
  <c r="E7" i="8"/>
  <c r="G6" i="8"/>
  <c r="I5" i="8"/>
  <c r="E5" i="8"/>
  <c r="K5" i="8" s="1"/>
  <c r="F4" i="8"/>
  <c r="H3" i="8"/>
  <c r="D3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I34" i="7"/>
  <c r="E47" i="8"/>
  <c r="K47" i="8" s="1"/>
  <c r="G46" i="8"/>
  <c r="G45" i="8"/>
  <c r="D45" i="8"/>
  <c r="H44" i="8"/>
  <c r="E44" i="8"/>
  <c r="H43" i="8"/>
  <c r="E43" i="8"/>
  <c r="G42" i="8"/>
  <c r="D42" i="8"/>
  <c r="I41" i="8"/>
  <c r="F41" i="8"/>
  <c r="H40" i="8"/>
  <c r="J40" i="8" s="1"/>
  <c r="E40" i="8"/>
  <c r="K40" i="8" s="1"/>
  <c r="G39" i="8"/>
  <c r="D39" i="8"/>
  <c r="I38" i="8"/>
  <c r="F38" i="8"/>
  <c r="H37" i="8"/>
  <c r="J37" i="8" s="1"/>
  <c r="E37" i="8"/>
  <c r="K37" i="8" s="1"/>
  <c r="G36" i="8"/>
  <c r="D36" i="8"/>
  <c r="I35" i="8"/>
  <c r="F35" i="8"/>
  <c r="H34" i="8"/>
  <c r="J34" i="8" s="1"/>
  <c r="E34" i="8"/>
  <c r="K34" i="8" s="1"/>
  <c r="E33" i="8"/>
  <c r="K33" i="8" s="1"/>
  <c r="G32" i="8"/>
  <c r="D32" i="8"/>
  <c r="H31" i="8"/>
  <c r="J31" i="8" s="1"/>
  <c r="E31" i="8"/>
  <c r="K31" i="8" s="1"/>
  <c r="G30" i="8"/>
  <c r="D30" i="8"/>
  <c r="I29" i="8"/>
  <c r="F29" i="8"/>
  <c r="I28" i="8"/>
  <c r="F28" i="8"/>
  <c r="I27" i="8"/>
  <c r="F27" i="8"/>
  <c r="H26" i="8"/>
  <c r="J26" i="8" s="1"/>
  <c r="F26" i="8"/>
  <c r="I25" i="8"/>
  <c r="D25" i="8"/>
  <c r="H24" i="8"/>
  <c r="J24" i="8" s="1"/>
  <c r="E24" i="8"/>
  <c r="K24" i="8" s="1"/>
  <c r="G23" i="8"/>
  <c r="D23" i="8"/>
  <c r="I22" i="8"/>
  <c r="F22" i="8"/>
  <c r="I21" i="8"/>
  <c r="F21" i="8"/>
  <c r="H20" i="8"/>
  <c r="J20" i="8" s="1"/>
  <c r="E20" i="8"/>
  <c r="K20" i="8" s="1"/>
  <c r="H6" i="8"/>
  <c r="J6" i="8" s="1"/>
  <c r="D6" i="8"/>
  <c r="G5" i="8"/>
  <c r="I4" i="8"/>
  <c r="E4" i="8"/>
  <c r="K4" i="8" s="1"/>
  <c r="F3" i="8"/>
  <c r="F48" i="8"/>
  <c r="E48" i="8"/>
  <c r="K48" i="8" s="1"/>
  <c r="D48" i="8"/>
  <c r="I47" i="8"/>
  <c r="H47" i="8"/>
  <c r="J47" i="8" s="1"/>
  <c r="G47" i="8"/>
  <c r="D47" i="8"/>
  <c r="I46" i="8"/>
  <c r="F46" i="8"/>
  <c r="E46" i="8"/>
  <c r="K46" i="8" s="1"/>
  <c r="H45" i="8"/>
  <c r="J45" i="8" s="1"/>
  <c r="E45" i="8"/>
  <c r="K45" i="8" s="1"/>
  <c r="I44" i="8"/>
  <c r="F44" i="8"/>
  <c r="I43" i="8"/>
  <c r="F43" i="8"/>
  <c r="H42" i="8"/>
  <c r="J42" i="8" s="1"/>
  <c r="E42" i="8"/>
  <c r="K42" i="8" s="1"/>
  <c r="G41" i="8"/>
  <c r="H33" i="8"/>
  <c r="J33" i="8" s="1"/>
  <c r="I32" i="7"/>
  <c r="J32" i="7"/>
  <c r="J31" i="7"/>
  <c r="I31" i="7"/>
  <c r="J30" i="7"/>
  <c r="I30" i="7"/>
  <c r="I29" i="7"/>
  <c r="J29" i="7"/>
  <c r="I28" i="7"/>
  <c r="J28" i="7"/>
  <c r="I27" i="7"/>
  <c r="J27" i="7"/>
  <c r="I26" i="7"/>
  <c r="J26" i="7"/>
  <c r="J25" i="7"/>
  <c r="I25" i="7"/>
  <c r="I24" i="7"/>
  <c r="J24" i="7"/>
  <c r="I23" i="7"/>
  <c r="J23" i="7"/>
  <c r="I22" i="7"/>
  <c r="J22" i="7"/>
  <c r="I21" i="7"/>
  <c r="J21" i="7"/>
  <c r="I20" i="7"/>
  <c r="J20" i="7"/>
  <c r="I19" i="7"/>
  <c r="J19" i="7"/>
  <c r="J18" i="7"/>
  <c r="I18" i="7"/>
  <c r="J17" i="7"/>
  <c r="I17" i="7"/>
  <c r="J16" i="7"/>
  <c r="I16" i="7"/>
  <c r="J15" i="7"/>
  <c r="I15" i="7"/>
  <c r="J14" i="7"/>
  <c r="I14" i="7"/>
  <c r="I13" i="7"/>
  <c r="J13" i="7"/>
  <c r="I12" i="7"/>
  <c r="J12" i="7"/>
  <c r="I11" i="7"/>
  <c r="J11" i="7"/>
  <c r="I10" i="7"/>
  <c r="J10" i="7"/>
  <c r="I9" i="7"/>
  <c r="J9" i="7"/>
  <c r="I8" i="7"/>
  <c r="J8" i="7"/>
  <c r="I7" i="7"/>
  <c r="J7" i="7"/>
  <c r="I6" i="7"/>
  <c r="J6" i="7"/>
  <c r="I5" i="7"/>
  <c r="J5" i="7"/>
  <c r="J4" i="7"/>
  <c r="I4" i="7"/>
  <c r="I3" i="7"/>
  <c r="J3" i="7"/>
  <c r="L19" i="8" l="1"/>
  <c r="L20" i="8"/>
  <c r="L21" i="8"/>
  <c r="L22" i="8"/>
  <c r="L15" i="8"/>
  <c r="L16" i="8"/>
  <c r="L17" i="8"/>
  <c r="L18" i="8"/>
  <c r="L11" i="8"/>
  <c r="L12" i="8"/>
  <c r="L13" i="8"/>
  <c r="L14" i="8"/>
  <c r="L23" i="8"/>
  <c r="L24" i="8"/>
  <c r="L26" i="8"/>
  <c r="L25" i="8"/>
  <c r="L47" i="8"/>
  <c r="L48" i="8"/>
  <c r="L49" i="8"/>
  <c r="L50" i="8"/>
  <c r="L31" i="8"/>
  <c r="L32" i="8"/>
  <c r="L34" i="8"/>
  <c r="L33" i="8"/>
  <c r="J39" i="8"/>
  <c r="K39" i="8"/>
  <c r="J36" i="8"/>
  <c r="J35" i="8"/>
  <c r="K35" i="8"/>
  <c r="J32" i="8"/>
  <c r="K32" i="8"/>
  <c r="J28" i="8"/>
  <c r="K28" i="8"/>
  <c r="K26" i="8"/>
  <c r="J25" i="8"/>
  <c r="J22" i="8"/>
  <c r="K22" i="8"/>
  <c r="J46" i="8"/>
  <c r="J44" i="8"/>
  <c r="K43" i="8"/>
  <c r="K6" i="8"/>
  <c r="J4" i="8"/>
  <c r="K3" i="8"/>
  <c r="K44" i="8"/>
  <c r="J41" i="8"/>
  <c r="K41" i="8"/>
  <c r="J38" i="8"/>
  <c r="K38" i="8"/>
  <c r="J29" i="8"/>
  <c r="K29" i="8"/>
  <c r="J27" i="8"/>
  <c r="K27" i="8"/>
  <c r="J21" i="8"/>
  <c r="K21" i="8"/>
  <c r="K7" i="8"/>
  <c r="J3" i="8"/>
  <c r="J43" i="8"/>
  <c r="L41" i="8" l="1"/>
  <c r="L40" i="8"/>
  <c r="L42" i="8"/>
  <c r="L39" i="8"/>
  <c r="L37" i="8"/>
  <c r="L36" i="8"/>
  <c r="L38" i="8"/>
  <c r="L35" i="8"/>
  <c r="L46" i="8"/>
  <c r="L43" i="8"/>
  <c r="L45" i="8"/>
  <c r="L44" i="8"/>
  <c r="L5" i="8"/>
  <c r="L4" i="8"/>
  <c r="L6" i="8"/>
  <c r="L3" i="8"/>
  <c r="L30" i="8"/>
  <c r="L27" i="8"/>
  <c r="L29" i="8"/>
  <c r="L28" i="8"/>
  <c r="L10" i="8"/>
  <c r="L9" i="8"/>
  <c r="L8" i="8"/>
  <c r="L7" i="8"/>
  <c r="C3" i="9" l="1" a="1"/>
  <c r="C3" i="9" s="1"/>
  <c r="C4" i="9" a="1"/>
  <c r="C4" i="9" s="1"/>
  <c r="C5" i="9" a="1"/>
  <c r="C5" i="9" s="1"/>
  <c r="C19" i="9" s="1"/>
  <c r="F6" i="9" a="1"/>
  <c r="F6" i="9" s="1"/>
  <c r="F7" i="9" a="1"/>
  <c r="F7" i="9" s="1"/>
  <c r="C9" i="9" a="1"/>
  <c r="C9" i="9" s="1"/>
  <c r="C24" i="9" s="1"/>
  <c r="F29" i="9" s="1"/>
  <c r="C11" i="9" a="1"/>
  <c r="C11" i="9" s="1"/>
  <c r="F22" i="9" s="1"/>
  <c r="C13" i="9" a="1"/>
  <c r="C13" i="9" s="1"/>
  <c r="C14" i="9" a="1"/>
  <c r="C14" i="9" s="1"/>
  <c r="C15" i="9" a="1"/>
  <c r="C15" i="9" s="1"/>
  <c r="C26" i="9" s="1"/>
  <c r="F16" i="9" a="1"/>
  <c r="F16" i="9" s="1"/>
  <c r="F17" i="9" a="1"/>
  <c r="F17" i="9" s="1"/>
  <c r="F3" i="9" a="1"/>
  <c r="F3" i="9" s="1"/>
  <c r="F4" i="9" a="1"/>
  <c r="F4" i="9" s="1"/>
  <c r="C6" i="9" a="1"/>
  <c r="C6" i="9" s="1"/>
  <c r="C7" i="9" a="1"/>
  <c r="C7" i="9" s="1"/>
  <c r="C8" i="9" a="1"/>
  <c r="C8" i="9" s="1"/>
  <c r="F19" i="9" s="1"/>
  <c r="C10" i="9" a="1"/>
  <c r="C10" i="9" s="1"/>
  <c r="F24" i="9" s="1"/>
  <c r="C12" i="9" a="1"/>
  <c r="C12" i="9" s="1"/>
  <c r="C22" i="9" s="1"/>
  <c r="F28" i="9" s="1"/>
  <c r="F13" i="9" a="1"/>
  <c r="F13" i="9" s="1"/>
  <c r="F14" i="9" a="1"/>
  <c r="F14" i="9" s="1"/>
  <c r="C16" i="9" a="1"/>
  <c r="C16" i="9" s="1"/>
  <c r="C17" i="9" a="1"/>
  <c r="C17" i="9" s="1"/>
  <c r="C25" i="9" s="1"/>
  <c r="C18" i="9" a="1"/>
  <c r="C18" i="9" s="1"/>
  <c r="F26" i="9" s="1"/>
  <c r="C20" i="9" l="1"/>
  <c r="C23" i="9"/>
  <c r="C27" i="9"/>
  <c r="F21" i="9"/>
  <c r="C21" i="9"/>
  <c r="C28" i="9" s="1"/>
  <c r="F31" i="9" s="1"/>
  <c r="F30" i="9"/>
  <c r="F20" i="9"/>
  <c r="F23" i="9"/>
  <c r="F25" i="9"/>
  <c r="C30" i="9" s="1"/>
  <c r="F32" i="9" s="1"/>
  <c r="F27" i="9" l="1"/>
  <c r="C31" i="9" s="1"/>
  <c r="C29" i="9"/>
  <c r="C32" i="9" s="1"/>
  <c r="C33" i="9" l="1"/>
  <c r="C34" i="9"/>
  <c r="F33" i="9"/>
  <c r="F34" i="9"/>
</calcChain>
</file>

<file path=xl/sharedStrings.xml><?xml version="1.0" encoding="utf-8"?>
<sst xmlns="http://schemas.openxmlformats.org/spreadsheetml/2006/main" count="1485" uniqueCount="490">
  <si>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</si>
  <si>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</si>
  <si>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</si>
  <si>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</si>
  <si>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</si>
  <si>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</si>
  <si>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</si>
  <si>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</si>
  <si>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</si>
  <si>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</si>
  <si>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</si>
  <si>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</si>
  <si>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</si>
  <si>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</si>
  <si>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</si>
  <si>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</si>
  <si>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</si>
  <si>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</si>
  <si>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</si>
  <si>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</si>
  <si>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</si>
  <si>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</si>
  <si>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</si>
  <si>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</si>
  <si>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</si>
  <si>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</si>
  <si>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</si>
  <si>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</si>
  <si>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</si>
  <si>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</si>
  <si>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</si>
  <si>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</si>
  <si>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</si>
  <si>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</si>
  <si>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</si>
  <si>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</si>
  <si>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</si>
  <si>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</si>
  <si>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</si>
  <si>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</si>
  <si>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</si>
  <si>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</si>
  <si>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</si>
  <si>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</si>
  <si>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</si>
  <si>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</si>
  <si>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</si>
  <si>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</si>
  <si>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</si>
  <si>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</si>
  <si>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</si>
  <si>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</si>
  <si>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</si>
  <si>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</si>
  <si>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</si>
  <si>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</si>
  <si>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Resultado real cargado (prensa, jul-2026).</t>
  </si>
  <si>
    <t>Equipo definido por formula (ganador de la ronda anterior); se actualiza solo al cargar goles.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</si>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</sst>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63</v>
      </c>
      <c r="C1" s="33"/>
    </row>
    <row r="2" spans="1:3" ht="43.5" customHeight="1" x14ac:dyDescent="0.25">
      <c r="B2" s="2" t="s">
        <v>64</v>
      </c>
      <c r="C2" s="3" t="s">
        <v>65</v>
      </c>
    </row>
    <row r="3" spans="1:3" ht="30" customHeight="1" x14ac:dyDescent="0.25">
      <c r="B3" s="2" t="s">
        <v>66</v>
      </c>
      <c r="C3" s="3" t="s">
        <v>67</v>
      </c>
    </row>
    <row r="4" spans="1:3" ht="15.75" customHeight="1" x14ac:dyDescent="0.25">
      <c r="B4" s="4" t="s">
        <v>68</v>
      </c>
      <c r="C4" s="5"/>
    </row>
    <row r="5" spans="1:3" ht="30" customHeight="1" x14ac:dyDescent="0.25">
      <c r="B5" s="2" t="s">
        <v>69</v>
      </c>
      <c r="C5" s="3" t="s">
        <v>70</v>
      </c>
    </row>
    <row r="6" spans="1:3" ht="30" customHeight="1" x14ac:dyDescent="0.25">
      <c r="B6" s="2" t="s">
        <v>71</v>
      </c>
      <c r="C6" s="3" t="s">
        <v>72</v>
      </c>
    </row>
    <row r="7" spans="1:3" ht="30" customHeight="1" x14ac:dyDescent="0.25">
      <c r="B7" s="2" t="s">
        <v>73</v>
      </c>
      <c r="C7" s="3" t="s">
        <v>74</v>
      </c>
    </row>
    <row r="8" spans="1:3" ht="15.75" customHeight="1" x14ac:dyDescent="0.25">
      <c r="B8" s="2" t="s">
        <v>75</v>
      </c>
      <c r="C8" s="3" t="s">
        <v>76</v>
      </c>
    </row>
    <row r="9" spans="1:3" ht="30" customHeight="1" x14ac:dyDescent="0.25">
      <c r="B9" s="2" t="s">
        <v>77</v>
      </c>
      <c r="C9" s="3" t="s">
        <v>78</v>
      </c>
    </row>
    <row r="10" spans="1:3" ht="15.75" customHeight="1" x14ac:dyDescent="0.25">
      <c r="B10" s="2" t="s">
        <v>79</v>
      </c>
      <c r="C10" s="3" t="s">
        <v>80</v>
      </c>
    </row>
    <row r="11" spans="1:3" ht="15.75" customHeight="1" x14ac:dyDescent="0.25">
      <c r="B11" s="4" t="s">
        <v>81</v>
      </c>
      <c r="C11" s="5"/>
    </row>
    <row r="12" spans="1:3" ht="15.75" customHeight="1" x14ac:dyDescent="0.25">
      <c r="B12" s="2" t="s">
        <v>82</v>
      </c>
      <c r="C12" s="3" t="s">
        <v>83</v>
      </c>
    </row>
    <row r="13" spans="1:3" ht="15.75" customHeight="1" x14ac:dyDescent="0.25">
      <c r="B13" s="2" t="s">
        <v>84</v>
      </c>
      <c r="C13" s="3" t="s">
        <v>85</v>
      </c>
    </row>
    <row r="14" spans="1:3" ht="15.75" customHeight="1" x14ac:dyDescent="0.25">
      <c r="B14" s="2" t="s">
        <v>86</v>
      </c>
      <c r="C14" s="3" t="s">
        <v>87</v>
      </c>
    </row>
    <row r="15" spans="1:3" ht="15.75" customHeight="1" x14ac:dyDescent="0.25">
      <c r="B15" s="2" t="s">
        <v>88</v>
      </c>
      <c r="C15" s="3" t="s">
        <v>89</v>
      </c>
    </row>
    <row r="16" spans="1:3" ht="30" customHeight="1" x14ac:dyDescent="0.25">
      <c r="B16" s="2" t="s">
        <v>90</v>
      </c>
      <c r="C16" s="3" t="s">
        <v>91</v>
      </c>
    </row>
    <row r="17" spans="2:3" ht="15.75" customHeight="1" x14ac:dyDescent="0.25">
      <c r="B17" s="4" t="s">
        <v>92</v>
      </c>
      <c r="C17" s="5"/>
    </row>
    <row r="18" spans="2:3" ht="15.75" customHeight="1" x14ac:dyDescent="0.25">
      <c r="B18" s="2" t="s">
        <v>93</v>
      </c>
      <c r="C18" s="3" t="s">
        <v>94</v>
      </c>
    </row>
    <row r="19" spans="2:3" ht="30" customHeight="1" x14ac:dyDescent="0.25">
      <c r="B19" s="2" t="s">
        <v>95</v>
      </c>
      <c r="C19" s="3" t="s">
        <v>96</v>
      </c>
    </row>
    <row r="20" spans="2:3" ht="30" customHeight="1" x14ac:dyDescent="0.25">
      <c r="B20" s="2" t="s">
        <v>97</v>
      </c>
      <c r="C20" s="3" t="s">
        <v>98</v>
      </c>
    </row>
    <row r="21" spans="2:3" ht="15.75" customHeight="1" x14ac:dyDescent="0.25">
      <c r="B21" s="2" t="s">
        <v>71</v>
      </c>
      <c r="C21" s="3" t="s">
        <v>99</v>
      </c>
    </row>
    <row r="22" spans="2:3" ht="15.75" customHeight="1" x14ac:dyDescent="0.25">
      <c r="B22" s="2" t="s">
        <v>100</v>
      </c>
      <c r="C22" s="3" t="s">
        <v>101</v>
      </c>
    </row>
    <row r="23" spans="2:3" ht="30" customHeight="1" x14ac:dyDescent="0.25">
      <c r="B23" s="2" t="s">
        <v>102</v>
      </c>
      <c r="C23" s="3" t="s">
        <v>103</v>
      </c>
    </row>
    <row r="24" spans="2:3" ht="30" customHeight="1" x14ac:dyDescent="0.25">
      <c r="B24" s="6" t="s">
        <v>104</v>
      </c>
      <c r="C24" s="3" t="s">
        <v>105</v>
      </c>
    </row>
    <row r="25" spans="2:3" ht="30" customHeight="1" x14ac:dyDescent="0.25">
      <c r="B25" s="6" t="s">
        <v>106</v>
      </c>
      <c r="C25" s="3" t="s">
        <v>107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109</v>
      </c>
      <c r="B2" s="7" t="s">
        <v>110</v>
      </c>
      <c r="C2" s="7" t="s">
        <v>111</v>
      </c>
      <c r="D2" s="7" t="s">
        <v>112</v>
      </c>
      <c r="E2" s="7" t="s">
        <v>113</v>
      </c>
      <c r="F2" s="7" t="s">
        <v>114</v>
      </c>
      <c r="G2" s="7" t="s">
        <v>115</v>
      </c>
      <c r="H2" s="7" t="s">
        <v>116</v>
      </c>
      <c r="I2" s="7" t="s">
        <v>8</v>
      </c>
      <c r="J2" s="7" t="s">
        <v>117</v>
      </c>
      <c r="K2" s="7" t="s">
        <v>118</v>
      </c>
    </row>
    <row r="3" spans="1:11" ht="15" customHeight="1" x14ac:dyDescent="0.25">
      <c r="A3" s="8">
        <v>1</v>
      </c>
      <c r="B3" s="9" t="s">
        <v>119</v>
      </c>
      <c r="C3" s="8" t="s">
        <v>120</v>
      </c>
      <c r="D3" s="8" t="s">
        <v>121</v>
      </c>
      <c r="E3" s="8">
        <v>1</v>
      </c>
      <c r="F3" s="8" t="s">
        <v>122</v>
      </c>
      <c r="G3" s="8">
        <v>15</v>
      </c>
      <c r="H3" s="10">
        <v>1675.74</v>
      </c>
      <c r="I3" s="8" t="s">
        <v>123</v>
      </c>
      <c r="J3" s="8" t="s">
        <v>124</v>
      </c>
      <c r="K3" s="8">
        <v>0</v>
      </c>
    </row>
    <row r="4" spans="1:11" ht="15" customHeight="1" x14ac:dyDescent="0.25">
      <c r="A4" s="11">
        <v>2</v>
      </c>
      <c r="B4" s="12" t="s">
        <v>125</v>
      </c>
      <c r="C4" s="11" t="s">
        <v>126</v>
      </c>
      <c r="D4" s="11" t="s">
        <v>121</v>
      </c>
      <c r="E4" s="11">
        <v>2</v>
      </c>
      <c r="F4" s="11" t="s">
        <v>127</v>
      </c>
      <c r="G4" s="11">
        <v>61</v>
      </c>
      <c r="H4" s="13">
        <v>1427.3</v>
      </c>
      <c r="I4" s="11" t="s">
        <v>124</v>
      </c>
      <c r="J4" s="11" t="s">
        <v>124</v>
      </c>
      <c r="K4" s="11">
        <v>0</v>
      </c>
    </row>
    <row r="5" spans="1:11" ht="15" customHeight="1" x14ac:dyDescent="0.25">
      <c r="A5" s="8">
        <v>3</v>
      </c>
      <c r="B5" s="9" t="s">
        <v>128</v>
      </c>
      <c r="C5" s="8" t="s">
        <v>129</v>
      </c>
      <c r="D5" s="8" t="s">
        <v>121</v>
      </c>
      <c r="E5" s="8">
        <v>3</v>
      </c>
      <c r="F5" s="8" t="s">
        <v>130</v>
      </c>
      <c r="G5" s="8">
        <v>22</v>
      </c>
      <c r="H5" s="10">
        <v>1599.45</v>
      </c>
      <c r="I5" s="8" t="s">
        <v>124</v>
      </c>
      <c r="J5" s="8" t="s">
        <v>124</v>
      </c>
      <c r="K5" s="8">
        <v>0</v>
      </c>
    </row>
    <row r="6" spans="1:11" ht="15" customHeight="1" x14ac:dyDescent="0.25">
      <c r="A6" s="11">
        <v>4</v>
      </c>
      <c r="B6" s="12" t="s">
        <v>131</v>
      </c>
      <c r="C6" s="11" t="s">
        <v>132</v>
      </c>
      <c r="D6" s="11" t="s">
        <v>121</v>
      </c>
      <c r="E6" s="11">
        <v>4</v>
      </c>
      <c r="F6" s="11" t="s">
        <v>133</v>
      </c>
      <c r="G6" s="11">
        <v>44</v>
      </c>
      <c r="H6" s="13">
        <v>1487</v>
      </c>
      <c r="I6" s="11" t="s">
        <v>124</v>
      </c>
      <c r="J6" s="11" t="s">
        <v>124</v>
      </c>
      <c r="K6" s="11">
        <v>0</v>
      </c>
    </row>
    <row r="7" spans="1:11" ht="15" customHeight="1" x14ac:dyDescent="0.25">
      <c r="A7" s="8">
        <v>5</v>
      </c>
      <c r="B7" s="9" t="s">
        <v>134</v>
      </c>
      <c r="C7" s="8" t="s">
        <v>135</v>
      </c>
      <c r="D7" s="8" t="s">
        <v>136</v>
      </c>
      <c r="E7" s="8">
        <v>1</v>
      </c>
      <c r="F7" s="8" t="s">
        <v>122</v>
      </c>
      <c r="G7" s="8">
        <v>27</v>
      </c>
      <c r="H7" s="10">
        <v>1559.16</v>
      </c>
      <c r="I7" s="8" t="s">
        <v>123</v>
      </c>
      <c r="J7" s="8" t="s">
        <v>124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137</v>
      </c>
      <c r="D8" s="11" t="s">
        <v>136</v>
      </c>
      <c r="E8" s="11">
        <v>2</v>
      </c>
      <c r="F8" s="11" t="s">
        <v>133</v>
      </c>
      <c r="G8" s="11">
        <v>71</v>
      </c>
      <c r="H8" s="13">
        <v>1393.9</v>
      </c>
      <c r="I8" s="11" t="s">
        <v>124</v>
      </c>
      <c r="J8" s="11" t="s">
        <v>124</v>
      </c>
      <c r="K8" s="11">
        <v>0</v>
      </c>
    </row>
    <row r="9" spans="1:11" ht="15" customHeight="1" x14ac:dyDescent="0.25">
      <c r="A9" s="8">
        <v>7</v>
      </c>
      <c r="B9" s="9" t="s">
        <v>138</v>
      </c>
      <c r="C9" s="8" t="s">
        <v>139</v>
      </c>
      <c r="D9" s="8" t="s">
        <v>136</v>
      </c>
      <c r="E9" s="8">
        <v>3</v>
      </c>
      <c r="F9" s="8" t="s">
        <v>130</v>
      </c>
      <c r="G9" s="8">
        <v>51</v>
      </c>
      <c r="H9" s="10">
        <v>1461.6</v>
      </c>
      <c r="I9" s="8" t="s">
        <v>124</v>
      </c>
      <c r="J9" s="8" t="s">
        <v>124</v>
      </c>
      <c r="K9" s="8">
        <v>0</v>
      </c>
    </row>
    <row r="10" spans="1:11" ht="15" customHeight="1" x14ac:dyDescent="0.25">
      <c r="A10" s="11">
        <v>8</v>
      </c>
      <c r="B10" s="12" t="s">
        <v>140</v>
      </c>
      <c r="C10" s="11" t="s">
        <v>141</v>
      </c>
      <c r="D10" s="11" t="s">
        <v>136</v>
      </c>
      <c r="E10" s="11">
        <v>4</v>
      </c>
      <c r="F10" s="11" t="s">
        <v>133</v>
      </c>
      <c r="G10" s="11">
        <v>17</v>
      </c>
      <c r="H10" s="13">
        <v>1654.69</v>
      </c>
      <c r="I10" s="11" t="s">
        <v>124</v>
      </c>
      <c r="J10" s="11" t="s">
        <v>124</v>
      </c>
      <c r="K10" s="11">
        <v>0</v>
      </c>
    </row>
    <row r="11" spans="1:11" ht="15" customHeight="1" x14ac:dyDescent="0.25">
      <c r="A11" s="8">
        <v>9</v>
      </c>
      <c r="B11" s="9" t="s">
        <v>142</v>
      </c>
      <c r="C11" s="8" t="s">
        <v>143</v>
      </c>
      <c r="D11" s="8" t="s">
        <v>144</v>
      </c>
      <c r="E11" s="8">
        <v>1</v>
      </c>
      <c r="F11" s="8" t="s">
        <v>145</v>
      </c>
      <c r="G11" s="8">
        <v>5</v>
      </c>
      <c r="H11" s="10">
        <v>1760.46</v>
      </c>
      <c r="I11" s="8" t="s">
        <v>124</v>
      </c>
      <c r="J11" s="8" t="s">
        <v>124</v>
      </c>
      <c r="K11" s="8">
        <v>5</v>
      </c>
    </row>
    <row r="12" spans="1:11" ht="15" customHeight="1" x14ac:dyDescent="0.25">
      <c r="A12" s="11">
        <v>10</v>
      </c>
      <c r="B12" s="12" t="s">
        <v>146</v>
      </c>
      <c r="C12" s="11" t="s">
        <v>147</v>
      </c>
      <c r="D12" s="11" t="s">
        <v>144</v>
      </c>
      <c r="E12" s="11">
        <v>2</v>
      </c>
      <c r="F12" s="11" t="s">
        <v>127</v>
      </c>
      <c r="G12" s="11">
        <v>11</v>
      </c>
      <c r="H12" s="13">
        <v>1713.12</v>
      </c>
      <c r="I12" s="11" t="s">
        <v>124</v>
      </c>
      <c r="J12" s="11" t="s">
        <v>124</v>
      </c>
      <c r="K12" s="11">
        <v>0</v>
      </c>
    </row>
    <row r="13" spans="1:11" ht="15" customHeight="1" x14ac:dyDescent="0.25">
      <c r="A13" s="8">
        <v>11</v>
      </c>
      <c r="B13" s="9" t="s">
        <v>148</v>
      </c>
      <c r="C13" s="8" t="s">
        <v>149</v>
      </c>
      <c r="D13" s="8" t="s">
        <v>144</v>
      </c>
      <c r="E13" s="8">
        <v>3</v>
      </c>
      <c r="F13" s="8" t="s">
        <v>122</v>
      </c>
      <c r="G13" s="8">
        <v>84</v>
      </c>
      <c r="H13" s="14">
        <v>1350.5</v>
      </c>
      <c r="I13" s="8" t="s">
        <v>124</v>
      </c>
      <c r="J13" s="8" t="s">
        <v>124</v>
      </c>
      <c r="K13" s="8">
        <v>0</v>
      </c>
    </row>
    <row r="14" spans="1:11" ht="15" customHeight="1" x14ac:dyDescent="0.25">
      <c r="A14" s="11">
        <v>12</v>
      </c>
      <c r="B14" s="12" t="s">
        <v>150</v>
      </c>
      <c r="C14" s="11" t="s">
        <v>151</v>
      </c>
      <c r="D14" s="11" t="s">
        <v>144</v>
      </c>
      <c r="E14" s="11">
        <v>4</v>
      </c>
      <c r="F14" s="11" t="s">
        <v>133</v>
      </c>
      <c r="G14" s="11">
        <v>36</v>
      </c>
      <c r="H14" s="13">
        <v>1506.77</v>
      </c>
      <c r="I14" s="11" t="s">
        <v>124</v>
      </c>
      <c r="J14" s="11" t="s">
        <v>124</v>
      </c>
      <c r="K14" s="11">
        <v>0</v>
      </c>
    </row>
    <row r="15" spans="1:11" ht="15" customHeight="1" x14ac:dyDescent="0.25">
      <c r="A15" s="8">
        <v>13</v>
      </c>
      <c r="B15" s="9" t="s">
        <v>152</v>
      </c>
      <c r="C15" s="8" t="s">
        <v>153</v>
      </c>
      <c r="D15" s="8" t="s">
        <v>154</v>
      </c>
      <c r="E15" s="8">
        <v>1</v>
      </c>
      <c r="F15" s="8" t="s">
        <v>122</v>
      </c>
      <c r="G15" s="8">
        <v>14</v>
      </c>
      <c r="H15" s="10">
        <v>1681.88</v>
      </c>
      <c r="I15" s="8" t="s">
        <v>123</v>
      </c>
      <c r="J15" s="8" t="s">
        <v>124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155</v>
      </c>
      <c r="D16" s="11" t="s">
        <v>154</v>
      </c>
      <c r="E16" s="11">
        <v>2</v>
      </c>
      <c r="F16" s="11" t="s">
        <v>145</v>
      </c>
      <c r="G16" s="11">
        <v>39</v>
      </c>
      <c r="H16" s="13">
        <v>1501.5</v>
      </c>
      <c r="I16" s="11" t="s">
        <v>124</v>
      </c>
      <c r="J16" s="11" t="s">
        <v>124</v>
      </c>
      <c r="K16" s="11">
        <v>0</v>
      </c>
    </row>
    <row r="17" spans="1:11" ht="15" customHeight="1" x14ac:dyDescent="0.25">
      <c r="A17" s="8">
        <v>15</v>
      </c>
      <c r="B17" s="9" t="s">
        <v>156</v>
      </c>
      <c r="C17" s="8" t="s">
        <v>157</v>
      </c>
      <c r="D17" s="8" t="s">
        <v>154</v>
      </c>
      <c r="E17" s="8">
        <v>3</v>
      </c>
      <c r="F17" s="8" t="s">
        <v>130</v>
      </c>
      <c r="G17" s="8">
        <v>26</v>
      </c>
      <c r="H17" s="10">
        <v>1574.01</v>
      </c>
      <c r="I17" s="8" t="s">
        <v>124</v>
      </c>
      <c r="J17" s="8" t="s">
        <v>124</v>
      </c>
      <c r="K17" s="8">
        <v>0</v>
      </c>
    </row>
    <row r="18" spans="1:11" ht="15" customHeight="1" x14ac:dyDescent="0.25">
      <c r="A18" s="11">
        <v>16</v>
      </c>
      <c r="B18" s="12" t="s">
        <v>158</v>
      </c>
      <c r="C18" s="11" t="s">
        <v>159</v>
      </c>
      <c r="D18" s="11" t="s">
        <v>154</v>
      </c>
      <c r="E18" s="11">
        <v>4</v>
      </c>
      <c r="F18" s="11" t="s">
        <v>133</v>
      </c>
      <c r="G18" s="11">
        <v>25</v>
      </c>
      <c r="H18" s="13">
        <v>1582.69</v>
      </c>
      <c r="I18" s="11" t="s">
        <v>124</v>
      </c>
      <c r="J18" s="11" t="s">
        <v>124</v>
      </c>
      <c r="K18" s="11">
        <v>0</v>
      </c>
    </row>
    <row r="19" spans="1:11" ht="15" customHeight="1" x14ac:dyDescent="0.25">
      <c r="A19" s="8">
        <v>17</v>
      </c>
      <c r="B19" s="9" t="s">
        <v>160</v>
      </c>
      <c r="C19" s="8" t="s">
        <v>161</v>
      </c>
      <c r="D19" s="8" t="s">
        <v>162</v>
      </c>
      <c r="E19" s="8">
        <v>1</v>
      </c>
      <c r="F19" s="8" t="s">
        <v>133</v>
      </c>
      <c r="G19" s="8">
        <v>9</v>
      </c>
      <c r="H19" s="10">
        <v>1724.14</v>
      </c>
      <c r="I19" s="8" t="s">
        <v>124</v>
      </c>
      <c r="J19" s="8" t="s">
        <v>124</v>
      </c>
      <c r="K19" s="8">
        <v>4</v>
      </c>
    </row>
    <row r="20" spans="1:11" ht="15" customHeight="1" x14ac:dyDescent="0.25">
      <c r="A20" s="11">
        <v>18</v>
      </c>
      <c r="B20" s="12" t="s">
        <v>163</v>
      </c>
      <c r="C20" s="11" t="s">
        <v>164</v>
      </c>
      <c r="D20" s="11" t="s">
        <v>162</v>
      </c>
      <c r="E20" s="11">
        <v>2</v>
      </c>
      <c r="F20" s="11" t="s">
        <v>122</v>
      </c>
      <c r="G20" s="11">
        <v>82</v>
      </c>
      <c r="H20" s="13">
        <v>1357.1</v>
      </c>
      <c r="I20" s="11" t="s">
        <v>124</v>
      </c>
      <c r="J20" s="11" t="s">
        <v>123</v>
      </c>
      <c r="K20" s="11">
        <v>0</v>
      </c>
    </row>
    <row r="21" spans="1:11" ht="15" customHeight="1" x14ac:dyDescent="0.25">
      <c r="A21" s="8">
        <v>19</v>
      </c>
      <c r="B21" s="9" t="s">
        <v>165</v>
      </c>
      <c r="C21" s="8" t="s">
        <v>166</v>
      </c>
      <c r="D21" s="8" t="s">
        <v>162</v>
      </c>
      <c r="E21" s="8">
        <v>3</v>
      </c>
      <c r="F21" s="8" t="s">
        <v>127</v>
      </c>
      <c r="G21" s="8">
        <v>42</v>
      </c>
      <c r="H21" s="10">
        <v>1489.59</v>
      </c>
      <c r="I21" s="8" t="s">
        <v>124</v>
      </c>
      <c r="J21" s="8" t="s">
        <v>124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167</v>
      </c>
      <c r="D22" s="11" t="s">
        <v>162</v>
      </c>
      <c r="E22" s="11">
        <v>4</v>
      </c>
      <c r="F22" s="11" t="s">
        <v>145</v>
      </c>
      <c r="G22" s="11">
        <v>23</v>
      </c>
      <c r="H22" s="13">
        <v>1591.73</v>
      </c>
      <c r="I22" s="11" t="s">
        <v>124</v>
      </c>
      <c r="J22" s="11" t="s">
        <v>124</v>
      </c>
      <c r="K22" s="11">
        <v>0</v>
      </c>
    </row>
    <row r="23" spans="1:11" ht="15" customHeight="1" x14ac:dyDescent="0.25">
      <c r="A23" s="8">
        <v>21</v>
      </c>
      <c r="B23" s="9" t="s">
        <v>168</v>
      </c>
      <c r="C23" s="8" t="s">
        <v>169</v>
      </c>
      <c r="D23" s="8" t="s">
        <v>170</v>
      </c>
      <c r="E23" s="8">
        <v>1</v>
      </c>
      <c r="F23" s="8" t="s">
        <v>133</v>
      </c>
      <c r="G23" s="8">
        <v>7</v>
      </c>
      <c r="H23" s="10">
        <v>1756.26</v>
      </c>
      <c r="I23" s="8" t="s">
        <v>124</v>
      </c>
      <c r="J23" s="8" t="s">
        <v>124</v>
      </c>
      <c r="K23" s="8">
        <v>0</v>
      </c>
    </row>
    <row r="24" spans="1:11" ht="15" customHeight="1" x14ac:dyDescent="0.25">
      <c r="A24" s="11">
        <v>22</v>
      </c>
      <c r="B24" s="12" t="s">
        <v>171</v>
      </c>
      <c r="C24" s="11" t="s">
        <v>172</v>
      </c>
      <c r="D24" s="11" t="s">
        <v>170</v>
      </c>
      <c r="E24" s="11">
        <v>2</v>
      </c>
      <c r="F24" s="11" t="s">
        <v>130</v>
      </c>
      <c r="G24" s="11">
        <v>18</v>
      </c>
      <c r="H24" s="13">
        <v>1650.11</v>
      </c>
      <c r="I24" s="11" t="s">
        <v>124</v>
      </c>
      <c r="J24" s="11" t="s">
        <v>124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173</v>
      </c>
      <c r="D25" s="8" t="s">
        <v>170</v>
      </c>
      <c r="E25" s="8">
        <v>3</v>
      </c>
      <c r="F25" s="8" t="s">
        <v>133</v>
      </c>
      <c r="G25" s="8">
        <v>43</v>
      </c>
      <c r="H25" s="10">
        <v>1487.13</v>
      </c>
      <c r="I25" s="8" t="s">
        <v>124</v>
      </c>
      <c r="J25" s="8" t="s">
        <v>124</v>
      </c>
      <c r="K25" s="8">
        <v>0</v>
      </c>
    </row>
    <row r="26" spans="1:11" ht="15" customHeight="1" x14ac:dyDescent="0.25">
      <c r="A26" s="11">
        <v>24</v>
      </c>
      <c r="B26" s="12" t="s">
        <v>174</v>
      </c>
      <c r="C26" s="11" t="s">
        <v>175</v>
      </c>
      <c r="D26" s="11" t="s">
        <v>170</v>
      </c>
      <c r="E26" s="11">
        <v>4</v>
      </c>
      <c r="F26" s="11" t="s">
        <v>127</v>
      </c>
      <c r="G26" s="11">
        <v>40</v>
      </c>
      <c r="H26" s="13">
        <v>1497.13</v>
      </c>
      <c r="I26" s="11" t="s">
        <v>124</v>
      </c>
      <c r="J26" s="11" t="s">
        <v>124</v>
      </c>
      <c r="K26" s="11">
        <v>0</v>
      </c>
    </row>
    <row r="27" spans="1:11" ht="15" customHeight="1" x14ac:dyDescent="0.25">
      <c r="A27" s="8">
        <v>25</v>
      </c>
      <c r="B27" s="9" t="s">
        <v>176</v>
      </c>
      <c r="C27" s="8" t="s">
        <v>177</v>
      </c>
      <c r="D27" s="8" t="s">
        <v>178</v>
      </c>
      <c r="E27" s="8">
        <v>1</v>
      </c>
      <c r="F27" s="8" t="s">
        <v>133</v>
      </c>
      <c r="G27" s="8">
        <v>8</v>
      </c>
      <c r="H27" s="10">
        <v>1730.71</v>
      </c>
      <c r="I27" s="8" t="s">
        <v>124</v>
      </c>
      <c r="J27" s="8" t="s">
        <v>124</v>
      </c>
      <c r="K27" s="8">
        <v>0</v>
      </c>
    </row>
    <row r="28" spans="1:11" ht="15" customHeight="1" x14ac:dyDescent="0.25">
      <c r="A28" s="11">
        <v>26</v>
      </c>
      <c r="B28" s="12" t="s">
        <v>179</v>
      </c>
      <c r="C28" s="11" t="s">
        <v>180</v>
      </c>
      <c r="D28" s="11" t="s">
        <v>178</v>
      </c>
      <c r="E28" s="11">
        <v>2</v>
      </c>
      <c r="F28" s="11" t="s">
        <v>127</v>
      </c>
      <c r="G28" s="11">
        <v>34</v>
      </c>
      <c r="H28" s="13">
        <v>1520.68</v>
      </c>
      <c r="I28" s="11" t="s">
        <v>124</v>
      </c>
      <c r="J28" s="11" t="s">
        <v>124</v>
      </c>
      <c r="K28" s="11">
        <v>0</v>
      </c>
    </row>
    <row r="29" spans="1:11" ht="15" customHeight="1" x14ac:dyDescent="0.25">
      <c r="A29" s="8">
        <v>27</v>
      </c>
      <c r="B29" s="9" t="s">
        <v>181</v>
      </c>
      <c r="C29" s="8" t="s">
        <v>182</v>
      </c>
      <c r="D29" s="8" t="s">
        <v>178</v>
      </c>
      <c r="E29" s="8">
        <v>3</v>
      </c>
      <c r="F29" s="8" t="s">
        <v>130</v>
      </c>
      <c r="G29" s="8">
        <v>20</v>
      </c>
      <c r="H29" s="10">
        <v>1617.03</v>
      </c>
      <c r="I29" s="8" t="s">
        <v>124</v>
      </c>
      <c r="J29" s="8" t="s">
        <v>124</v>
      </c>
      <c r="K29" s="8">
        <v>0</v>
      </c>
    </row>
    <row r="30" spans="1:11" ht="15" customHeight="1" x14ac:dyDescent="0.25">
      <c r="A30" s="11">
        <v>28</v>
      </c>
      <c r="B30" s="12" t="s">
        <v>183</v>
      </c>
      <c r="C30" s="11" t="s">
        <v>184</v>
      </c>
      <c r="D30" s="11" t="s">
        <v>178</v>
      </c>
      <c r="E30" s="11">
        <v>4</v>
      </c>
      <c r="F30" s="11" t="s">
        <v>185</v>
      </c>
      <c r="G30" s="11">
        <v>86</v>
      </c>
      <c r="H30" s="13">
        <v>1343.8</v>
      </c>
      <c r="I30" s="11" t="s">
        <v>124</v>
      </c>
      <c r="J30" s="11" t="s">
        <v>124</v>
      </c>
      <c r="K30" s="11">
        <v>0</v>
      </c>
    </row>
    <row r="31" spans="1:11" ht="15" customHeight="1" x14ac:dyDescent="0.25">
      <c r="A31" s="8">
        <v>29</v>
      </c>
      <c r="B31" s="9" t="s">
        <v>186</v>
      </c>
      <c r="C31" s="8" t="s">
        <v>187</v>
      </c>
      <c r="D31" s="8" t="s">
        <v>188</v>
      </c>
      <c r="E31" s="8">
        <v>1</v>
      </c>
      <c r="F31" s="8" t="s">
        <v>133</v>
      </c>
      <c r="G31" s="8">
        <v>1</v>
      </c>
      <c r="H31" s="10">
        <v>1877.17</v>
      </c>
      <c r="I31" s="8" t="s">
        <v>124</v>
      </c>
      <c r="J31" s="8" t="s">
        <v>124</v>
      </c>
      <c r="K31" s="8">
        <v>1</v>
      </c>
    </row>
    <row r="32" spans="1:11" ht="15" customHeight="1" x14ac:dyDescent="0.25">
      <c r="A32" s="11">
        <v>30</v>
      </c>
      <c r="B32" s="12" t="s">
        <v>189</v>
      </c>
      <c r="C32" s="11" t="s">
        <v>190</v>
      </c>
      <c r="D32" s="11" t="s">
        <v>188</v>
      </c>
      <c r="E32" s="11">
        <v>2</v>
      </c>
      <c r="F32" s="11" t="s">
        <v>127</v>
      </c>
      <c r="G32" s="11">
        <v>68</v>
      </c>
      <c r="H32" s="13">
        <v>1403.9</v>
      </c>
      <c r="I32" s="11" t="s">
        <v>124</v>
      </c>
      <c r="J32" s="11" t="s">
        <v>123</v>
      </c>
      <c r="K32" s="11">
        <v>0</v>
      </c>
    </row>
    <row r="33" spans="1:11" ht="15" customHeight="1" x14ac:dyDescent="0.25">
      <c r="A33" s="8">
        <v>31</v>
      </c>
      <c r="B33" s="9" t="s">
        <v>191</v>
      </c>
      <c r="C33" s="8" t="s">
        <v>192</v>
      </c>
      <c r="D33" s="8" t="s">
        <v>188</v>
      </c>
      <c r="E33" s="8">
        <v>3</v>
      </c>
      <c r="F33" s="8" t="s">
        <v>130</v>
      </c>
      <c r="G33" s="15">
        <v>60</v>
      </c>
      <c r="H33" s="14">
        <v>1430.6</v>
      </c>
      <c r="I33" s="8" t="s">
        <v>124</v>
      </c>
      <c r="J33" s="8" t="s">
        <v>124</v>
      </c>
      <c r="K33" s="8">
        <v>0</v>
      </c>
    </row>
    <row r="34" spans="1:11" ht="15" customHeight="1" x14ac:dyDescent="0.25">
      <c r="A34" s="11">
        <v>32</v>
      </c>
      <c r="B34" s="12" t="s">
        <v>193</v>
      </c>
      <c r="C34" s="11" t="s">
        <v>194</v>
      </c>
      <c r="D34" s="11" t="s">
        <v>188</v>
      </c>
      <c r="E34" s="11">
        <v>4</v>
      </c>
      <c r="F34" s="11" t="s">
        <v>145</v>
      </c>
      <c r="G34" s="11">
        <v>16</v>
      </c>
      <c r="H34" s="13">
        <v>1672.61</v>
      </c>
      <c r="I34" s="11" t="s">
        <v>124</v>
      </c>
      <c r="J34" s="11" t="s">
        <v>124</v>
      </c>
      <c r="K34" s="11">
        <v>2</v>
      </c>
    </row>
    <row r="35" spans="1:11" ht="15" customHeight="1" x14ac:dyDescent="0.25">
      <c r="A35" s="8">
        <v>33</v>
      </c>
      <c r="B35" s="9" t="s">
        <v>195</v>
      </c>
      <c r="C35" s="8" t="s">
        <v>196</v>
      </c>
      <c r="D35" s="8" t="s">
        <v>197</v>
      </c>
      <c r="E35" s="8">
        <v>1</v>
      </c>
      <c r="F35" s="8" t="s">
        <v>133</v>
      </c>
      <c r="G35" s="8">
        <v>3</v>
      </c>
      <c r="H35" s="10">
        <v>1870</v>
      </c>
      <c r="I35" s="8" t="s">
        <v>124</v>
      </c>
      <c r="J35" s="8" t="s">
        <v>124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198</v>
      </c>
      <c r="D36" s="11" t="s">
        <v>197</v>
      </c>
      <c r="E36" s="11">
        <v>2</v>
      </c>
      <c r="F36" s="11" t="s">
        <v>127</v>
      </c>
      <c r="G36" s="11">
        <v>19</v>
      </c>
      <c r="H36" s="13">
        <v>1648.06</v>
      </c>
      <c r="I36" s="11" t="s">
        <v>124</v>
      </c>
      <c r="J36" s="11" t="s">
        <v>124</v>
      </c>
      <c r="K36" s="11">
        <v>0</v>
      </c>
    </row>
    <row r="37" spans="1:11" ht="15" customHeight="1" x14ac:dyDescent="0.25">
      <c r="A37" s="8">
        <v>35</v>
      </c>
      <c r="B37" s="9" t="s">
        <v>199</v>
      </c>
      <c r="C37" s="8" t="s">
        <v>200</v>
      </c>
      <c r="D37" s="8" t="s">
        <v>197</v>
      </c>
      <c r="E37" s="8">
        <v>3</v>
      </c>
      <c r="F37" s="8" t="s">
        <v>130</v>
      </c>
      <c r="G37" s="15">
        <v>58</v>
      </c>
      <c r="H37" s="14">
        <v>1437.3</v>
      </c>
      <c r="I37" s="8" t="s">
        <v>124</v>
      </c>
      <c r="J37" s="8" t="s">
        <v>124</v>
      </c>
      <c r="K37" s="8">
        <v>0</v>
      </c>
    </row>
    <row r="38" spans="1:11" ht="15" customHeight="1" x14ac:dyDescent="0.25">
      <c r="A38" s="11">
        <v>36</v>
      </c>
      <c r="B38" s="12" t="s">
        <v>201</v>
      </c>
      <c r="C38" s="11" t="s">
        <v>202</v>
      </c>
      <c r="D38" s="11" t="s">
        <v>197</v>
      </c>
      <c r="E38" s="11">
        <v>4</v>
      </c>
      <c r="F38" s="11" t="s">
        <v>133</v>
      </c>
      <c r="G38" s="11">
        <v>29</v>
      </c>
      <c r="H38" s="13">
        <v>1553.13</v>
      </c>
      <c r="I38" s="11" t="s">
        <v>124</v>
      </c>
      <c r="J38" s="11" t="s">
        <v>124</v>
      </c>
      <c r="K38" s="11">
        <v>0</v>
      </c>
    </row>
    <row r="39" spans="1:11" ht="15" customHeight="1" x14ac:dyDescent="0.25">
      <c r="A39" s="8">
        <v>37</v>
      </c>
      <c r="B39" s="9" t="s">
        <v>203</v>
      </c>
      <c r="C39" s="8" t="s">
        <v>204</v>
      </c>
      <c r="D39" s="8" t="s">
        <v>205</v>
      </c>
      <c r="E39" s="8">
        <v>1</v>
      </c>
      <c r="F39" s="8" t="s">
        <v>145</v>
      </c>
      <c r="G39" s="8">
        <v>2</v>
      </c>
      <c r="H39" s="10">
        <v>1873.32</v>
      </c>
      <c r="I39" s="8" t="s">
        <v>124</v>
      </c>
      <c r="J39" s="8" t="s">
        <v>124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206</v>
      </c>
      <c r="D40" s="11" t="s">
        <v>205</v>
      </c>
      <c r="E40" s="11">
        <v>2</v>
      </c>
      <c r="F40" s="11" t="s">
        <v>127</v>
      </c>
      <c r="G40" s="11">
        <v>35</v>
      </c>
      <c r="H40" s="13">
        <v>1516.37</v>
      </c>
      <c r="I40" s="11" t="s">
        <v>124</v>
      </c>
      <c r="J40" s="11" t="s">
        <v>124</v>
      </c>
      <c r="K40" s="11">
        <v>0</v>
      </c>
    </row>
    <row r="41" spans="1:11" ht="15" customHeight="1" x14ac:dyDescent="0.25">
      <c r="A41" s="8">
        <v>39</v>
      </c>
      <c r="B41" s="9" t="s">
        <v>207</v>
      </c>
      <c r="C41" s="8" t="s">
        <v>208</v>
      </c>
      <c r="D41" s="8" t="s">
        <v>205</v>
      </c>
      <c r="E41" s="8">
        <v>3</v>
      </c>
      <c r="F41" s="8" t="s">
        <v>133</v>
      </c>
      <c r="G41" s="8">
        <v>24</v>
      </c>
      <c r="H41" s="10">
        <v>1585.5</v>
      </c>
      <c r="I41" s="8" t="s">
        <v>124</v>
      </c>
      <c r="J41" s="8" t="s">
        <v>124</v>
      </c>
      <c r="K41" s="8">
        <v>0</v>
      </c>
    </row>
    <row r="42" spans="1:11" ht="15" customHeight="1" x14ac:dyDescent="0.25">
      <c r="A42" s="11">
        <v>40</v>
      </c>
      <c r="B42" s="12" t="s">
        <v>209</v>
      </c>
      <c r="C42" s="11" t="s">
        <v>210</v>
      </c>
      <c r="D42" s="11" t="s">
        <v>205</v>
      </c>
      <c r="E42" s="11">
        <v>4</v>
      </c>
      <c r="F42" s="11" t="s">
        <v>130</v>
      </c>
      <c r="G42" s="11">
        <v>66</v>
      </c>
      <c r="H42" s="13">
        <v>1410.6</v>
      </c>
      <c r="I42" s="11" t="s">
        <v>124</v>
      </c>
      <c r="J42" s="11" t="s">
        <v>123</v>
      </c>
      <c r="K42" s="11">
        <v>0</v>
      </c>
    </row>
    <row r="43" spans="1:11" ht="15" customHeight="1" x14ac:dyDescent="0.25">
      <c r="A43" s="8">
        <v>41</v>
      </c>
      <c r="B43" s="9" t="s">
        <v>211</v>
      </c>
      <c r="C43" s="8" t="s">
        <v>212</v>
      </c>
      <c r="D43" s="8" t="s">
        <v>213</v>
      </c>
      <c r="E43" s="8">
        <v>1</v>
      </c>
      <c r="F43" s="8" t="s">
        <v>133</v>
      </c>
      <c r="G43" s="8">
        <v>6</v>
      </c>
      <c r="H43" s="10">
        <v>1760.39</v>
      </c>
      <c r="I43" s="8" t="s">
        <v>124</v>
      </c>
      <c r="J43" s="8" t="s">
        <v>124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214</v>
      </c>
      <c r="D44" s="11" t="s">
        <v>213</v>
      </c>
      <c r="E44" s="11">
        <v>2</v>
      </c>
      <c r="F44" s="11" t="s">
        <v>127</v>
      </c>
      <c r="G44" s="11">
        <v>56</v>
      </c>
      <c r="H44" s="13">
        <v>1442.51</v>
      </c>
      <c r="I44" s="11" t="s">
        <v>124</v>
      </c>
      <c r="J44" s="11" t="s">
        <v>124</v>
      </c>
      <c r="K44" s="11">
        <v>0</v>
      </c>
    </row>
    <row r="45" spans="1:11" ht="15" customHeight="1" x14ac:dyDescent="0.25">
      <c r="A45" s="8">
        <v>43</v>
      </c>
      <c r="B45" s="9" t="s">
        <v>215</v>
      </c>
      <c r="C45" s="8" t="s">
        <v>216</v>
      </c>
      <c r="D45" s="8" t="s">
        <v>213</v>
      </c>
      <c r="E45" s="8">
        <v>3</v>
      </c>
      <c r="F45" s="8" t="s">
        <v>130</v>
      </c>
      <c r="G45" s="15">
        <v>50</v>
      </c>
      <c r="H45" s="14">
        <v>1464</v>
      </c>
      <c r="I45" s="8" t="s">
        <v>124</v>
      </c>
      <c r="J45" s="8" t="s">
        <v>123</v>
      </c>
      <c r="K45" s="8">
        <v>0</v>
      </c>
    </row>
    <row r="46" spans="1:11" ht="15" customHeight="1" x14ac:dyDescent="0.25">
      <c r="A46" s="11">
        <v>44</v>
      </c>
      <c r="B46" s="12" t="s">
        <v>217</v>
      </c>
      <c r="C46" s="11" t="s">
        <v>218</v>
      </c>
      <c r="D46" s="11" t="s">
        <v>213</v>
      </c>
      <c r="E46" s="11">
        <v>4</v>
      </c>
      <c r="F46" s="11" t="s">
        <v>145</v>
      </c>
      <c r="G46" s="11">
        <v>13</v>
      </c>
      <c r="H46" s="13">
        <v>1701.29</v>
      </c>
      <c r="I46" s="11" t="s">
        <v>124</v>
      </c>
      <c r="J46" s="11" t="s">
        <v>124</v>
      </c>
      <c r="K46" s="11">
        <v>0</v>
      </c>
    </row>
    <row r="47" spans="1:11" ht="15" customHeight="1" x14ac:dyDescent="0.25">
      <c r="A47" s="8">
        <v>45</v>
      </c>
      <c r="B47" s="9" t="s">
        <v>219</v>
      </c>
      <c r="C47" s="8" t="s">
        <v>220</v>
      </c>
      <c r="D47" s="8" t="s">
        <v>221</v>
      </c>
      <c r="E47" s="8">
        <v>1</v>
      </c>
      <c r="F47" s="8" t="s">
        <v>133</v>
      </c>
      <c r="G47" s="8">
        <v>4</v>
      </c>
      <c r="H47" s="10">
        <v>1834.11</v>
      </c>
      <c r="I47" s="8" t="s">
        <v>124</v>
      </c>
      <c r="J47" s="8" t="s">
        <v>124</v>
      </c>
      <c r="K47" s="8">
        <v>1</v>
      </c>
    </row>
    <row r="48" spans="1:11" ht="15" customHeight="1" x14ac:dyDescent="0.25">
      <c r="A48" s="11">
        <v>46</v>
      </c>
      <c r="B48" s="12" t="s">
        <v>222</v>
      </c>
      <c r="C48" s="11" t="s">
        <v>223</v>
      </c>
      <c r="D48" s="11" t="s">
        <v>221</v>
      </c>
      <c r="E48" s="11">
        <v>2</v>
      </c>
      <c r="F48" s="11" t="s">
        <v>133</v>
      </c>
      <c r="G48" s="11">
        <v>10</v>
      </c>
      <c r="H48" s="13">
        <v>1716.89</v>
      </c>
      <c r="I48" s="11" t="s">
        <v>124</v>
      </c>
      <c r="J48" s="11" t="s">
        <v>124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224</v>
      </c>
      <c r="D49" s="8" t="s">
        <v>221</v>
      </c>
      <c r="E49" s="8">
        <v>3</v>
      </c>
      <c r="F49" s="8" t="s">
        <v>127</v>
      </c>
      <c r="G49" s="8">
        <v>72</v>
      </c>
      <c r="H49" s="14">
        <v>1390.5</v>
      </c>
      <c r="I49" s="8" t="s">
        <v>124</v>
      </c>
      <c r="J49" s="8" t="s">
        <v>124</v>
      </c>
      <c r="K49" s="8">
        <v>0</v>
      </c>
    </row>
    <row r="50" spans="1:11" ht="15" customHeight="1" x14ac:dyDescent="0.25">
      <c r="A50" s="11">
        <v>48</v>
      </c>
      <c r="B50" s="12" t="s">
        <v>225</v>
      </c>
      <c r="C50" s="11" t="s">
        <v>226</v>
      </c>
      <c r="D50" s="11" t="s">
        <v>221</v>
      </c>
      <c r="E50" s="11">
        <v>4</v>
      </c>
      <c r="F50" s="11" t="s">
        <v>122</v>
      </c>
      <c r="G50" s="11">
        <v>30</v>
      </c>
      <c r="H50" s="13">
        <v>1540.42</v>
      </c>
      <c r="I50" s="11" t="s">
        <v>124</v>
      </c>
      <c r="J50" s="11" t="s">
        <v>124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227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109</v>
      </c>
      <c r="B2" s="16" t="s">
        <v>110</v>
      </c>
      <c r="C2" s="16" t="s">
        <v>229</v>
      </c>
      <c r="D2" s="16" t="s">
        <v>230</v>
      </c>
      <c r="E2" s="16" t="s">
        <v>231</v>
      </c>
      <c r="F2" s="16" t="s">
        <v>232</v>
      </c>
      <c r="G2" s="16" t="s">
        <v>233</v>
      </c>
      <c r="H2" s="16" t="s">
        <v>234</v>
      </c>
      <c r="I2" s="16" t="s">
        <v>235</v>
      </c>
      <c r="J2" s="16" t="s">
        <v>236</v>
      </c>
      <c r="K2" s="16" t="s">
        <v>237</v>
      </c>
      <c r="L2" s="16" t="s">
        <v>238</v>
      </c>
      <c r="M2" s="16" t="s">
        <v>239</v>
      </c>
      <c r="N2" s="16" t="s">
        <v>240</v>
      </c>
      <c r="O2" s="16" t="s">
        <v>241</v>
      </c>
      <c r="P2" s="16" t="s">
        <v>242</v>
      </c>
      <c r="Q2" s="16" t="s">
        <v>243</v>
      </c>
      <c r="R2" s="16" t="s">
        <v>244</v>
      </c>
    </row>
    <row r="3" spans="1:18" ht="15" customHeight="1" x14ac:dyDescent="0.25">
      <c r="A3" s="8">
        <v>1</v>
      </c>
      <c r="B3" s="17" t="s">
        <v>119</v>
      </c>
      <c r="C3" s="8" t="s">
        <v>122</v>
      </c>
      <c r="D3" s="8">
        <v>18</v>
      </c>
      <c r="E3" s="18">
        <v>1930</v>
      </c>
      <c r="F3" s="17" t="s">
        <v>245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125</v>
      </c>
      <c r="C4" s="8" t="s">
        <v>127</v>
      </c>
      <c r="D4" s="8">
        <v>4</v>
      </c>
      <c r="E4" s="18">
        <v>1998</v>
      </c>
      <c r="F4" s="17" t="s">
        <v>246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128</v>
      </c>
      <c r="C5" s="8" t="s">
        <v>130</v>
      </c>
      <c r="D5" s="8">
        <v>12</v>
      </c>
      <c r="E5" s="18">
        <v>1954</v>
      </c>
      <c r="F5" s="17" t="s">
        <v>247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131</v>
      </c>
      <c r="C6" s="8" t="s">
        <v>133</v>
      </c>
      <c r="D6" s="8">
        <v>10</v>
      </c>
      <c r="E6" s="18">
        <v>1934</v>
      </c>
      <c r="F6" s="17" t="s">
        <v>248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134</v>
      </c>
      <c r="C7" s="11" t="s">
        <v>122</v>
      </c>
      <c r="D7" s="11">
        <v>3</v>
      </c>
      <c r="E7" s="21">
        <v>1986</v>
      </c>
      <c r="F7" s="20" t="s">
        <v>246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133</v>
      </c>
      <c r="D8" s="11">
        <v>2</v>
      </c>
      <c r="E8" s="21">
        <v>2014</v>
      </c>
      <c r="F8" s="20" t="s">
        <v>246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138</v>
      </c>
      <c r="C9" s="11" t="s">
        <v>130</v>
      </c>
      <c r="D9" s="11">
        <v>2</v>
      </c>
      <c r="E9" s="21">
        <v>2022</v>
      </c>
      <c r="F9" s="20" t="s">
        <v>246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140</v>
      </c>
      <c r="C10" s="11" t="s">
        <v>133</v>
      </c>
      <c r="D10" s="11">
        <v>13</v>
      </c>
      <c r="E10" s="21">
        <v>1934</v>
      </c>
      <c r="F10" s="20" t="s">
        <v>249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142</v>
      </c>
      <c r="C11" s="8" t="s">
        <v>145</v>
      </c>
      <c r="D11" s="8">
        <v>23</v>
      </c>
      <c r="E11" s="18">
        <v>1930</v>
      </c>
      <c r="F11" s="17" t="s">
        <v>250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146</v>
      </c>
      <c r="C12" s="8" t="s">
        <v>127</v>
      </c>
      <c r="D12" s="8">
        <v>7</v>
      </c>
      <c r="E12" s="18">
        <v>1970</v>
      </c>
      <c r="F12" s="17" t="s">
        <v>251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148</v>
      </c>
      <c r="C13" s="8" t="s">
        <v>122</v>
      </c>
      <c r="D13" s="8">
        <v>2</v>
      </c>
      <c r="E13" s="18">
        <v>1974</v>
      </c>
      <c r="F13" s="17" t="s">
        <v>246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150</v>
      </c>
      <c r="C14" s="8" t="s">
        <v>133</v>
      </c>
      <c r="D14" s="8">
        <v>9</v>
      </c>
      <c r="E14" s="18">
        <v>1954</v>
      </c>
      <c r="F14" s="17" t="s">
        <v>246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152</v>
      </c>
      <c r="C15" s="11" t="s">
        <v>122</v>
      </c>
      <c r="D15" s="11">
        <v>12</v>
      </c>
      <c r="E15" s="21">
        <v>1930</v>
      </c>
      <c r="F15" s="20" t="s">
        <v>252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145</v>
      </c>
      <c r="D16" s="11">
        <v>9</v>
      </c>
      <c r="E16" s="21">
        <v>1930</v>
      </c>
      <c r="F16" s="20" t="s">
        <v>253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156</v>
      </c>
      <c r="C17" s="11" t="s">
        <v>130</v>
      </c>
      <c r="D17" s="11">
        <v>7</v>
      </c>
      <c r="E17" s="21">
        <v>1974</v>
      </c>
      <c r="F17" s="20" t="s">
        <v>254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158</v>
      </c>
      <c r="C18" s="11" t="s">
        <v>133</v>
      </c>
      <c r="D18" s="11">
        <v>3</v>
      </c>
      <c r="E18" s="21">
        <v>1954</v>
      </c>
      <c r="F18" s="20" t="s">
        <v>255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160</v>
      </c>
      <c r="C19" s="8" t="s">
        <v>133</v>
      </c>
      <c r="D19" s="8">
        <v>21</v>
      </c>
      <c r="E19" s="18">
        <v>1934</v>
      </c>
      <c r="F19" s="17" t="s">
        <v>256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163</v>
      </c>
      <c r="C20" s="8" t="s">
        <v>122</v>
      </c>
      <c r="D20" s="8">
        <v>1</v>
      </c>
      <c r="E20" s="18">
        <v>2026</v>
      </c>
      <c r="F20" s="17" t="s">
        <v>257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165</v>
      </c>
      <c r="C21" s="8" t="s">
        <v>127</v>
      </c>
      <c r="D21" s="8">
        <v>4</v>
      </c>
      <c r="E21" s="18">
        <v>2006</v>
      </c>
      <c r="F21" s="17" t="s">
        <v>246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145</v>
      </c>
      <c r="D22" s="8">
        <v>5</v>
      </c>
      <c r="E22" s="18">
        <v>2002</v>
      </c>
      <c r="F22" s="17" t="s">
        <v>258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168</v>
      </c>
      <c r="C23" s="11" t="s">
        <v>133</v>
      </c>
      <c r="D23" s="11">
        <v>12</v>
      </c>
      <c r="E23" s="21">
        <v>1934</v>
      </c>
      <c r="F23" s="20" t="s">
        <v>259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171</v>
      </c>
      <c r="C24" s="11" t="s">
        <v>130</v>
      </c>
      <c r="D24" s="11">
        <v>8</v>
      </c>
      <c r="E24" s="21">
        <v>1998</v>
      </c>
      <c r="F24" s="20" t="s">
        <v>260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133</v>
      </c>
      <c r="D25" s="11">
        <v>13</v>
      </c>
      <c r="E25" s="21">
        <v>1934</v>
      </c>
      <c r="F25" s="20" t="s">
        <v>261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174</v>
      </c>
      <c r="C26" s="11" t="s">
        <v>127</v>
      </c>
      <c r="D26" s="11">
        <v>7</v>
      </c>
      <c r="E26" s="21">
        <v>1978</v>
      </c>
      <c r="F26" s="20" t="s">
        <v>246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176</v>
      </c>
      <c r="C27" s="8" t="s">
        <v>133</v>
      </c>
      <c r="D27" s="8">
        <v>15</v>
      </c>
      <c r="E27" s="18">
        <v>1930</v>
      </c>
      <c r="F27" s="17" t="s">
        <v>262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179</v>
      </c>
      <c r="C28" s="8" t="s">
        <v>127</v>
      </c>
      <c r="D28" s="8">
        <v>4</v>
      </c>
      <c r="E28" s="18">
        <v>1934</v>
      </c>
      <c r="F28" s="17" t="s">
        <v>263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181</v>
      </c>
      <c r="C29" s="8" t="s">
        <v>130</v>
      </c>
      <c r="D29" s="8">
        <v>7</v>
      </c>
      <c r="E29" s="18">
        <v>1978</v>
      </c>
      <c r="F29" s="17" t="s">
        <v>246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183</v>
      </c>
      <c r="C30" s="8" t="s">
        <v>185</v>
      </c>
      <c r="D30" s="8">
        <v>3</v>
      </c>
      <c r="E30" s="18">
        <v>1982</v>
      </c>
      <c r="F30" s="17" t="s">
        <v>246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186</v>
      </c>
      <c r="C31" s="11" t="s">
        <v>133</v>
      </c>
      <c r="D31" s="11">
        <v>17</v>
      </c>
      <c r="E31" s="21">
        <v>1934</v>
      </c>
      <c r="F31" s="20" t="s">
        <v>264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189</v>
      </c>
      <c r="C32" s="11" t="s">
        <v>127</v>
      </c>
      <c r="D32" s="11">
        <v>1</v>
      </c>
      <c r="E32" s="21">
        <v>2026</v>
      </c>
      <c r="F32" s="20" t="s">
        <v>257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191</v>
      </c>
      <c r="C33" s="11" t="s">
        <v>130</v>
      </c>
      <c r="D33" s="11">
        <v>7</v>
      </c>
      <c r="E33" s="21">
        <v>1994</v>
      </c>
      <c r="F33" s="20" t="s">
        <v>265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193</v>
      </c>
      <c r="C34" s="11" t="s">
        <v>145</v>
      </c>
      <c r="D34" s="11">
        <v>15</v>
      </c>
      <c r="E34" s="21">
        <v>1930</v>
      </c>
      <c r="F34" s="20" t="s">
        <v>266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195</v>
      </c>
      <c r="C35" s="8" t="s">
        <v>133</v>
      </c>
      <c r="D35" s="8">
        <v>17</v>
      </c>
      <c r="E35" s="18">
        <v>1930</v>
      </c>
      <c r="F35" s="17" t="s">
        <v>267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127</v>
      </c>
      <c r="D36" s="8">
        <v>4</v>
      </c>
      <c r="E36" s="18">
        <v>2002</v>
      </c>
      <c r="F36" s="17" t="s">
        <v>268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199</v>
      </c>
      <c r="C37" s="8" t="s">
        <v>130</v>
      </c>
      <c r="D37" s="8">
        <v>2</v>
      </c>
      <c r="E37" s="18">
        <v>1986</v>
      </c>
      <c r="F37" s="17" t="s">
        <v>246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201</v>
      </c>
      <c r="C38" s="8" t="s">
        <v>133</v>
      </c>
      <c r="D38" s="8">
        <v>4</v>
      </c>
      <c r="E38" s="18">
        <v>1938</v>
      </c>
      <c r="F38" s="17" t="s">
        <v>269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203</v>
      </c>
      <c r="C39" s="11" t="s">
        <v>145</v>
      </c>
      <c r="D39" s="11">
        <v>19</v>
      </c>
      <c r="E39" s="21">
        <v>1930</v>
      </c>
      <c r="F39" s="20" t="s">
        <v>270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127</v>
      </c>
      <c r="D40" s="11">
        <v>5</v>
      </c>
      <c r="E40" s="21">
        <v>1982</v>
      </c>
      <c r="F40" s="20" t="s">
        <v>271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207</v>
      </c>
      <c r="C41" s="11" t="s">
        <v>133</v>
      </c>
      <c r="D41" s="11">
        <v>8</v>
      </c>
      <c r="E41" s="21">
        <v>1934</v>
      </c>
      <c r="F41" s="20" t="s">
        <v>272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209</v>
      </c>
      <c r="C42" s="11" t="s">
        <v>130</v>
      </c>
      <c r="D42" s="11">
        <v>1</v>
      </c>
      <c r="E42" s="21">
        <v>2026</v>
      </c>
      <c r="F42" s="20" t="s">
        <v>257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211</v>
      </c>
      <c r="C43" s="8" t="s">
        <v>133</v>
      </c>
      <c r="D43" s="8">
        <v>9</v>
      </c>
      <c r="E43" s="18">
        <v>1966</v>
      </c>
      <c r="F43" s="17" t="s">
        <v>273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127</v>
      </c>
      <c r="D44" s="8">
        <v>2</v>
      </c>
      <c r="E44" s="18">
        <v>1974</v>
      </c>
      <c r="F44" s="17" t="s">
        <v>274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215</v>
      </c>
      <c r="C45" s="8" t="s">
        <v>130</v>
      </c>
      <c r="D45" s="8">
        <v>1</v>
      </c>
      <c r="E45" s="18">
        <v>2026</v>
      </c>
      <c r="F45" s="17" t="s">
        <v>257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217</v>
      </c>
      <c r="C46" s="8" t="s">
        <v>145</v>
      </c>
      <c r="D46" s="8">
        <v>7</v>
      </c>
      <c r="E46" s="18">
        <v>1962</v>
      </c>
      <c r="F46" s="17" t="s">
        <v>275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219</v>
      </c>
      <c r="C47" s="11" t="s">
        <v>133</v>
      </c>
      <c r="D47" s="11">
        <v>17</v>
      </c>
      <c r="E47" s="21">
        <v>1950</v>
      </c>
      <c r="F47" s="20" t="s">
        <v>276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222</v>
      </c>
      <c r="C48" s="11" t="s">
        <v>133</v>
      </c>
      <c r="D48" s="11">
        <v>7</v>
      </c>
      <c r="E48" s="21">
        <v>1998</v>
      </c>
      <c r="F48" s="20" t="s">
        <v>277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127</v>
      </c>
      <c r="D49" s="11">
        <v>5</v>
      </c>
      <c r="E49" s="21">
        <v>2006</v>
      </c>
      <c r="F49" s="20" t="s">
        <v>253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225</v>
      </c>
      <c r="C50" s="11" t="s">
        <v>122</v>
      </c>
      <c r="D50" s="11">
        <v>2</v>
      </c>
      <c r="E50" s="21">
        <v>2018</v>
      </c>
      <c r="F50" s="20" t="s">
        <v>246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279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109</v>
      </c>
      <c r="B2" s="16" t="s">
        <v>110</v>
      </c>
      <c r="C2" s="16" t="s">
        <v>280</v>
      </c>
      <c r="D2" s="16" t="s">
        <v>281</v>
      </c>
      <c r="E2" s="16" t="s">
        <v>282</v>
      </c>
      <c r="F2" s="16" t="s">
        <v>283</v>
      </c>
      <c r="G2" s="16" t="s">
        <v>284</v>
      </c>
      <c r="H2" s="23" t="s">
        <v>285</v>
      </c>
      <c r="I2" s="23" t="s">
        <v>286</v>
      </c>
      <c r="J2" s="23" t="s">
        <v>287</v>
      </c>
    </row>
    <row r="3" spans="1:10" ht="23.25" customHeight="1" x14ac:dyDescent="0.25">
      <c r="A3" s="8">
        <v>1</v>
      </c>
      <c r="B3" s="9" t="s">
        <v>119</v>
      </c>
      <c r="C3" s="9" t="s">
        <v>288</v>
      </c>
      <c r="D3" s="9" t="s">
        <v>119</v>
      </c>
      <c r="E3" s="8">
        <v>2024</v>
      </c>
      <c r="F3" s="9" t="s">
        <v>289</v>
      </c>
      <c r="G3" s="9" t="s">
        <v>290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125</v>
      </c>
      <c r="C4" s="9" t="s">
        <v>291</v>
      </c>
      <c r="D4" s="9" t="s">
        <v>176</v>
      </c>
      <c r="E4" s="8">
        <v>2021</v>
      </c>
      <c r="F4" s="9" t="s">
        <v>292</v>
      </c>
      <c r="G4" s="9" t="s">
        <v>293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128</v>
      </c>
      <c r="C5" s="9" t="s">
        <v>294</v>
      </c>
      <c r="D5" s="9" t="s">
        <v>128</v>
      </c>
      <c r="E5" s="8">
        <v>2024</v>
      </c>
      <c r="F5" s="9" t="s">
        <v>295</v>
      </c>
      <c r="G5" s="9" t="s">
        <v>296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131</v>
      </c>
      <c r="C6" s="9" t="s">
        <v>297</v>
      </c>
      <c r="D6" s="9" t="s">
        <v>131</v>
      </c>
      <c r="E6" s="8">
        <v>2024</v>
      </c>
      <c r="F6" s="9" t="s">
        <v>298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134</v>
      </c>
      <c r="C7" s="12" t="s">
        <v>299</v>
      </c>
      <c r="D7" s="12" t="s">
        <v>152</v>
      </c>
      <c r="E7" s="11">
        <v>2024</v>
      </c>
      <c r="F7" s="12" t="s">
        <v>300</v>
      </c>
      <c r="G7" s="12" t="s">
        <v>301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302</v>
      </c>
      <c r="D8" s="12" t="s">
        <v>38</v>
      </c>
      <c r="E8" s="11">
        <v>2024</v>
      </c>
      <c r="F8" s="12" t="s">
        <v>303</v>
      </c>
      <c r="G8" s="12" t="s">
        <v>304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138</v>
      </c>
      <c r="C9" s="12" t="s">
        <v>305</v>
      </c>
      <c r="D9" s="12" t="s">
        <v>186</v>
      </c>
      <c r="E9" s="11">
        <v>2025</v>
      </c>
      <c r="F9" s="12" t="s">
        <v>306</v>
      </c>
      <c r="G9" s="12" t="s">
        <v>307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140</v>
      </c>
      <c r="C10" s="12" t="s">
        <v>308</v>
      </c>
      <c r="D10" s="12" t="s">
        <v>140</v>
      </c>
      <c r="E10" s="11">
        <v>2021</v>
      </c>
      <c r="F10" s="12" t="s">
        <v>309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142</v>
      </c>
      <c r="C11" s="9" t="s">
        <v>310</v>
      </c>
      <c r="D11" s="9" t="s">
        <v>311</v>
      </c>
      <c r="E11" s="8">
        <v>2025</v>
      </c>
      <c r="F11" s="9" t="s">
        <v>312</v>
      </c>
      <c r="G11" s="9" t="s">
        <v>313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146</v>
      </c>
      <c r="C12" s="24" t="s">
        <v>314</v>
      </c>
      <c r="D12" s="9" t="s">
        <v>146</v>
      </c>
      <c r="E12" s="8">
        <v>2026</v>
      </c>
      <c r="F12" s="9" t="s">
        <v>315</v>
      </c>
      <c r="G12" s="9" t="s">
        <v>316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148</v>
      </c>
      <c r="C13" s="9" t="s">
        <v>317</v>
      </c>
      <c r="D13" s="9" t="s">
        <v>195</v>
      </c>
      <c r="E13" s="8">
        <v>2024</v>
      </c>
      <c r="F13" s="9" t="s">
        <v>318</v>
      </c>
      <c r="G13" s="9" t="s">
        <v>319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150</v>
      </c>
      <c r="C14" s="9" t="s">
        <v>320</v>
      </c>
      <c r="D14" s="9" t="s">
        <v>150</v>
      </c>
      <c r="E14" s="8">
        <v>2019</v>
      </c>
      <c r="F14" s="9" t="s">
        <v>321</v>
      </c>
      <c r="G14" s="9" t="s">
        <v>322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152</v>
      </c>
      <c r="C15" s="12" t="s">
        <v>323</v>
      </c>
      <c r="D15" s="12" t="s">
        <v>203</v>
      </c>
      <c r="E15" s="11">
        <v>2024</v>
      </c>
      <c r="F15" s="12" t="s">
        <v>324</v>
      </c>
      <c r="G15" s="12" t="s">
        <v>325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326</v>
      </c>
      <c r="D16" s="12" t="s">
        <v>203</v>
      </c>
      <c r="E16" s="11">
        <v>2024</v>
      </c>
      <c r="F16" s="12" t="s">
        <v>327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156</v>
      </c>
      <c r="C17" s="12" t="s">
        <v>328</v>
      </c>
      <c r="D17" s="12" t="s">
        <v>156</v>
      </c>
      <c r="E17" s="11">
        <v>2024</v>
      </c>
      <c r="F17" s="12" t="s">
        <v>329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158</v>
      </c>
      <c r="C18" s="12" t="s">
        <v>330</v>
      </c>
      <c r="D18" s="12" t="s">
        <v>311</v>
      </c>
      <c r="E18" s="11">
        <v>2023</v>
      </c>
      <c r="F18" s="12" t="s">
        <v>331</v>
      </c>
      <c r="G18" s="12" t="s">
        <v>332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160</v>
      </c>
      <c r="C19" s="9" t="s">
        <v>333</v>
      </c>
      <c r="D19" s="9" t="s">
        <v>160</v>
      </c>
      <c r="E19" s="8">
        <v>2023</v>
      </c>
      <c r="F19" s="9" t="s">
        <v>334</v>
      </c>
      <c r="G19" s="9" t="s">
        <v>335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163</v>
      </c>
      <c r="C20" s="9" t="s">
        <v>336</v>
      </c>
      <c r="D20" s="9" t="s">
        <v>168</v>
      </c>
      <c r="E20" s="8">
        <v>2024</v>
      </c>
      <c r="F20" s="9" t="s">
        <v>337</v>
      </c>
      <c r="G20" s="9" t="s">
        <v>338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165</v>
      </c>
      <c r="C21" s="9" t="s">
        <v>339</v>
      </c>
      <c r="D21" s="9" t="s">
        <v>165</v>
      </c>
      <c r="E21" s="8">
        <v>2024</v>
      </c>
      <c r="F21" s="9" t="s">
        <v>340</v>
      </c>
      <c r="G21" s="9" t="s">
        <v>341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342</v>
      </c>
      <c r="D22" s="9" t="s">
        <v>203</v>
      </c>
      <c r="E22" s="8">
        <v>2024</v>
      </c>
      <c r="F22" s="9" t="s">
        <v>343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168</v>
      </c>
      <c r="C23" s="12" t="s">
        <v>344</v>
      </c>
      <c r="D23" s="12" t="s">
        <v>168</v>
      </c>
      <c r="E23" s="11">
        <v>2023</v>
      </c>
      <c r="F23" s="12" t="s">
        <v>345</v>
      </c>
      <c r="G23" s="12" t="s">
        <v>346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171</v>
      </c>
      <c r="C24" s="12" t="s">
        <v>347</v>
      </c>
      <c r="D24" s="12" t="s">
        <v>171</v>
      </c>
      <c r="E24" s="11">
        <v>2018</v>
      </c>
      <c r="F24" s="12" t="s">
        <v>348</v>
      </c>
      <c r="G24" s="12" t="s">
        <v>349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350</v>
      </c>
      <c r="D25" s="12" t="s">
        <v>219</v>
      </c>
      <c r="E25" s="11">
        <v>2025</v>
      </c>
      <c r="F25" s="12" t="s">
        <v>324</v>
      </c>
      <c r="G25" s="12" t="s">
        <v>351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174</v>
      </c>
      <c r="C26" s="12" t="s">
        <v>352</v>
      </c>
      <c r="D26" s="12" t="s">
        <v>174</v>
      </c>
      <c r="E26" s="11">
        <v>2025</v>
      </c>
      <c r="F26" s="12" t="s">
        <v>353</v>
      </c>
      <c r="G26" s="12" t="s">
        <v>354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176</v>
      </c>
      <c r="C27" s="9" t="s">
        <v>355</v>
      </c>
      <c r="D27" s="9" t="s">
        <v>195</v>
      </c>
      <c r="E27" s="8">
        <v>2025</v>
      </c>
      <c r="F27" s="9" t="s">
        <v>356</v>
      </c>
      <c r="G27" s="9" t="s">
        <v>357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179</v>
      </c>
      <c r="C28" s="9" t="s">
        <v>358</v>
      </c>
      <c r="D28" s="9" t="s">
        <v>179</v>
      </c>
      <c r="E28" s="8">
        <v>2024</v>
      </c>
      <c r="F28" s="9" t="s">
        <v>359</v>
      </c>
      <c r="G28" s="9" t="s">
        <v>360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181</v>
      </c>
      <c r="C29" s="9" t="s">
        <v>361</v>
      </c>
      <c r="D29" s="9" t="s">
        <v>181</v>
      </c>
      <c r="E29" s="8">
        <v>2023</v>
      </c>
      <c r="F29" s="9" t="s">
        <v>362</v>
      </c>
      <c r="G29" s="9" t="s">
        <v>363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183</v>
      </c>
      <c r="C30" s="9" t="s">
        <v>364</v>
      </c>
      <c r="D30" s="9" t="s">
        <v>219</v>
      </c>
      <c r="E30" s="8">
        <v>2023</v>
      </c>
      <c r="F30" s="9" t="s">
        <v>365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186</v>
      </c>
      <c r="C31" s="12" t="s">
        <v>366</v>
      </c>
      <c r="D31" s="12" t="s">
        <v>186</v>
      </c>
      <c r="E31" s="11">
        <v>2022</v>
      </c>
      <c r="F31" s="12" t="s">
        <v>367</v>
      </c>
      <c r="G31" s="12" t="s">
        <v>368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189</v>
      </c>
      <c r="C32" s="12" t="s">
        <v>369</v>
      </c>
      <c r="D32" s="12" t="s">
        <v>189</v>
      </c>
      <c r="E32" s="11">
        <v>2020</v>
      </c>
      <c r="F32" s="12" t="s">
        <v>370</v>
      </c>
      <c r="G32" s="12" t="s">
        <v>371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191</v>
      </c>
      <c r="C33" s="12" t="s">
        <v>372</v>
      </c>
      <c r="D33" s="12" t="s">
        <v>373</v>
      </c>
      <c r="E33" s="11">
        <v>2025</v>
      </c>
      <c r="F33" s="12" t="s">
        <v>374</v>
      </c>
      <c r="G33" s="12" t="s">
        <v>375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193</v>
      </c>
      <c r="C34" s="12" t="s">
        <v>376</v>
      </c>
      <c r="D34" s="12" t="s">
        <v>203</v>
      </c>
      <c r="E34" s="11">
        <v>2023</v>
      </c>
      <c r="F34" s="12" t="s">
        <v>300</v>
      </c>
      <c r="G34" s="12" t="s">
        <v>377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195</v>
      </c>
      <c r="C35" s="9" t="s">
        <v>378</v>
      </c>
      <c r="D35" s="9" t="s">
        <v>195</v>
      </c>
      <c r="E35" s="8">
        <v>2012</v>
      </c>
      <c r="F35" s="9" t="s">
        <v>379</v>
      </c>
      <c r="G35" s="9" t="s">
        <v>380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381</v>
      </c>
      <c r="D36" s="9" t="s">
        <v>35</v>
      </c>
      <c r="E36" s="8">
        <v>2024</v>
      </c>
      <c r="F36" s="9" t="s">
        <v>382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199</v>
      </c>
      <c r="C37" s="9" t="s">
        <v>383</v>
      </c>
      <c r="D37" s="9" t="s">
        <v>156</v>
      </c>
      <c r="E37" s="8">
        <v>2025</v>
      </c>
      <c r="F37" s="9" t="s">
        <v>384</v>
      </c>
      <c r="G37" s="9" t="s">
        <v>385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201</v>
      </c>
      <c r="C38" s="9" t="s">
        <v>386</v>
      </c>
      <c r="D38" s="9" t="s">
        <v>201</v>
      </c>
      <c r="E38" s="8">
        <v>2020</v>
      </c>
      <c r="F38" s="9" t="s">
        <v>387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203</v>
      </c>
      <c r="C39" s="12" t="s">
        <v>388</v>
      </c>
      <c r="D39" s="12" t="s">
        <v>203</v>
      </c>
      <c r="E39" s="11">
        <v>2018</v>
      </c>
      <c r="F39" s="12" t="s">
        <v>389</v>
      </c>
      <c r="G39" s="12" t="s">
        <v>390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391</v>
      </c>
      <c r="D40" s="12" t="s">
        <v>38</v>
      </c>
      <c r="E40" s="11">
        <v>2024</v>
      </c>
      <c r="F40" s="12" t="s">
        <v>392</v>
      </c>
      <c r="G40" s="12" t="s">
        <v>393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207</v>
      </c>
      <c r="C41" s="12" t="s">
        <v>394</v>
      </c>
      <c r="D41" s="12" t="s">
        <v>160</v>
      </c>
      <c r="E41" s="11">
        <v>2022</v>
      </c>
      <c r="F41" s="12" t="s">
        <v>395</v>
      </c>
      <c r="G41" s="12" t="s">
        <v>396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209</v>
      </c>
      <c r="C42" s="12" t="s">
        <v>397</v>
      </c>
      <c r="D42" s="12" t="s">
        <v>146</v>
      </c>
      <c r="E42" s="11">
        <v>2024</v>
      </c>
      <c r="F42" s="12" t="s">
        <v>398</v>
      </c>
      <c r="G42" s="12" t="s">
        <v>399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211</v>
      </c>
      <c r="C43" s="9" t="s">
        <v>400</v>
      </c>
      <c r="D43" s="9" t="s">
        <v>186</v>
      </c>
      <c r="E43" s="8">
        <v>2023</v>
      </c>
      <c r="F43" s="9" t="s">
        <v>401</v>
      </c>
      <c r="G43" s="9" t="s">
        <v>402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403</v>
      </c>
      <c r="D44" s="9" t="s">
        <v>195</v>
      </c>
      <c r="E44" s="8">
        <v>2022</v>
      </c>
      <c r="F44" s="9" t="s">
        <v>404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215</v>
      </c>
      <c r="C45" s="9" t="s">
        <v>405</v>
      </c>
      <c r="D45" s="9" t="s">
        <v>311</v>
      </c>
      <c r="E45" s="8">
        <v>2025</v>
      </c>
      <c r="F45" s="9" t="s">
        <v>406</v>
      </c>
      <c r="G45" s="9" t="s">
        <v>407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217</v>
      </c>
      <c r="C46" s="9" t="s">
        <v>408</v>
      </c>
      <c r="D46" s="9" t="s">
        <v>203</v>
      </c>
      <c r="E46" s="8">
        <v>2022</v>
      </c>
      <c r="F46" s="9" t="s">
        <v>409</v>
      </c>
      <c r="G46" s="9" t="s">
        <v>410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219</v>
      </c>
      <c r="C47" s="12" t="s">
        <v>411</v>
      </c>
      <c r="D47" s="12" t="s">
        <v>160</v>
      </c>
      <c r="E47" s="11">
        <v>2025</v>
      </c>
      <c r="F47" s="12" t="s">
        <v>334</v>
      </c>
      <c r="G47" s="12" t="s">
        <v>412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222</v>
      </c>
      <c r="C48" s="12" t="s">
        <v>413</v>
      </c>
      <c r="D48" s="12" t="s">
        <v>222</v>
      </c>
      <c r="E48" s="11">
        <v>2017</v>
      </c>
      <c r="F48" s="12" t="s">
        <v>414</v>
      </c>
      <c r="G48" s="12" t="s">
        <v>415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416</v>
      </c>
      <c r="D49" s="12" t="s">
        <v>211</v>
      </c>
      <c r="E49" s="11">
        <v>2026</v>
      </c>
      <c r="F49" s="12" t="s">
        <v>417</v>
      </c>
      <c r="G49" s="12" t="s">
        <v>418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225</v>
      </c>
      <c r="C50" s="12" t="s">
        <v>419</v>
      </c>
      <c r="D50" s="12" t="s">
        <v>186</v>
      </c>
      <c r="E50" s="11">
        <v>2020</v>
      </c>
      <c r="F50" s="12" t="s">
        <v>420</v>
      </c>
      <c r="G50" s="12" t="s">
        <v>421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422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109</v>
      </c>
      <c r="B2" s="25" t="s">
        <v>110</v>
      </c>
      <c r="C2" s="25" t="s">
        <v>114</v>
      </c>
      <c r="D2" s="25" t="s">
        <v>236</v>
      </c>
      <c r="E2" s="25" t="s">
        <v>237</v>
      </c>
      <c r="F2" s="25" t="s">
        <v>238</v>
      </c>
      <c r="G2" s="25" t="s">
        <v>239</v>
      </c>
      <c r="H2" s="25" t="s">
        <v>240</v>
      </c>
      <c r="I2" s="25" t="s">
        <v>241</v>
      </c>
      <c r="J2" s="25" t="s">
        <v>424</v>
      </c>
      <c r="K2" s="25" t="s">
        <v>242</v>
      </c>
      <c r="L2" s="25" t="s">
        <v>425</v>
      </c>
      <c r="M2" s="25" t="s">
        <v>426</v>
      </c>
      <c r="N2" s="25" t="s">
        <v>427</v>
      </c>
      <c r="O2" s="23" t="s">
        <v>428</v>
      </c>
      <c r="P2" s="23" t="s">
        <v>429</v>
      </c>
    </row>
    <row r="3" spans="1:16" ht="15" customHeight="1" x14ac:dyDescent="0.25">
      <c r="A3" s="8">
        <v>1</v>
      </c>
      <c r="B3" s="9" t="s">
        <v>119</v>
      </c>
      <c r="C3" s="8" t="s">
        <v>122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125</v>
      </c>
      <c r="C4" s="8" t="s">
        <v>127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128</v>
      </c>
      <c r="C5" s="8" t="s">
        <v>130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131</v>
      </c>
      <c r="C6" s="8" t="s">
        <v>133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134</v>
      </c>
      <c r="C7" s="8" t="s">
        <v>122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133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138</v>
      </c>
      <c r="C9" s="8" t="s">
        <v>130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140</v>
      </c>
      <c r="C10" s="8" t="s">
        <v>133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142</v>
      </c>
      <c r="C11" s="8" t="s">
        <v>145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146</v>
      </c>
      <c r="C12" s="8" t="s">
        <v>127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148</v>
      </c>
      <c r="C13" s="8" t="s">
        <v>122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150</v>
      </c>
      <c r="C14" s="8" t="s">
        <v>133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152</v>
      </c>
      <c r="C15" s="8" t="s">
        <v>122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145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156</v>
      </c>
      <c r="C17" s="8" t="s">
        <v>130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158</v>
      </c>
      <c r="C18" s="8" t="s">
        <v>133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160</v>
      </c>
      <c r="C19" s="8" t="s">
        <v>133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163</v>
      </c>
      <c r="C20" s="8" t="s">
        <v>122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165</v>
      </c>
      <c r="C21" s="8" t="s">
        <v>127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145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168</v>
      </c>
      <c r="C23" s="8" t="s">
        <v>133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171</v>
      </c>
      <c r="C24" s="8" t="s">
        <v>130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133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174</v>
      </c>
      <c r="C26" s="8" t="s">
        <v>127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176</v>
      </c>
      <c r="C27" s="8" t="s">
        <v>133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179</v>
      </c>
      <c r="C28" s="8" t="s">
        <v>127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181</v>
      </c>
      <c r="C29" s="8" t="s">
        <v>130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183</v>
      </c>
      <c r="C30" s="8" t="s">
        <v>185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186</v>
      </c>
      <c r="C31" s="8" t="s">
        <v>133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189</v>
      </c>
      <c r="C32" s="8" t="s">
        <v>127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191</v>
      </c>
      <c r="C33" s="8" t="s">
        <v>130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193</v>
      </c>
      <c r="C34" s="8" t="s">
        <v>145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195</v>
      </c>
      <c r="C35" s="8" t="s">
        <v>133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127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199</v>
      </c>
      <c r="C37" s="8" t="s">
        <v>130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201</v>
      </c>
      <c r="C38" s="8" t="s">
        <v>133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203</v>
      </c>
      <c r="C39" s="8" t="s">
        <v>145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127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207</v>
      </c>
      <c r="C41" s="8" t="s">
        <v>133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209</v>
      </c>
      <c r="C42" s="8" t="s">
        <v>130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211</v>
      </c>
      <c r="C43" s="8" t="s">
        <v>133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127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215</v>
      </c>
      <c r="C45" s="8" t="s">
        <v>130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217</v>
      </c>
      <c r="C46" s="8" t="s">
        <v>145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219</v>
      </c>
      <c r="C47" s="8" t="s">
        <v>133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222</v>
      </c>
      <c r="C48" s="8" t="s">
        <v>133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127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225</v>
      </c>
      <c r="C50" s="8" t="s">
        <v>122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430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431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109</v>
      </c>
      <c r="B2" s="25" t="s">
        <v>110</v>
      </c>
      <c r="C2" s="25" t="s">
        <v>111</v>
      </c>
      <c r="D2" s="25" t="s">
        <v>432</v>
      </c>
      <c r="E2" s="25" t="s">
        <v>433</v>
      </c>
      <c r="F2" s="25" t="s">
        <v>434</v>
      </c>
      <c r="G2" s="25" t="s">
        <v>435</v>
      </c>
      <c r="H2" s="25" t="s">
        <v>436</v>
      </c>
      <c r="I2" s="25" t="s">
        <v>437</v>
      </c>
      <c r="J2" s="25" t="s">
        <v>438</v>
      </c>
    </row>
    <row r="3" spans="1:10" ht="15" customHeight="1" x14ac:dyDescent="0.25">
      <c r="A3" s="8">
        <v>1</v>
      </c>
      <c r="B3" s="9" t="s">
        <v>119</v>
      </c>
      <c r="C3" s="8" t="s">
        <v>120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125</v>
      </c>
      <c r="C4" s="8" t="s">
        <v>126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128</v>
      </c>
      <c r="C5" s="8" t="s">
        <v>129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131</v>
      </c>
      <c r="C6" s="8" t="s">
        <v>132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134</v>
      </c>
      <c r="C7" s="8" t="s">
        <v>135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137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138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140</v>
      </c>
      <c r="C10" s="8" t="s">
        <v>141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142</v>
      </c>
      <c r="C11" s="8" t="s">
        <v>143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146</v>
      </c>
      <c r="C12" s="8" t="s">
        <v>147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148</v>
      </c>
      <c r="C13" s="8" t="s">
        <v>149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150</v>
      </c>
      <c r="C14" s="8" t="s">
        <v>151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152</v>
      </c>
      <c r="C15" s="8" t="s">
        <v>153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156</v>
      </c>
      <c r="C17" s="8" t="s">
        <v>157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158</v>
      </c>
      <c r="C18" s="8" t="s">
        <v>159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160</v>
      </c>
      <c r="C19" s="8" t="s">
        <v>161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163</v>
      </c>
      <c r="C20" s="8" t="s">
        <v>164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165</v>
      </c>
      <c r="C21" s="8" t="s">
        <v>166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167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168</v>
      </c>
      <c r="C23" s="8" t="s">
        <v>169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171</v>
      </c>
      <c r="C24" s="8" t="s">
        <v>172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173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174</v>
      </c>
      <c r="C26" s="8" t="s">
        <v>175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176</v>
      </c>
      <c r="C27" s="8" t="s">
        <v>177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179</v>
      </c>
      <c r="C28" s="8" t="s">
        <v>180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181</v>
      </c>
      <c r="C29" s="8" t="s">
        <v>182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183</v>
      </c>
      <c r="C30" s="8" t="s">
        <v>184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186</v>
      </c>
      <c r="C31" s="8" t="s">
        <v>187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189</v>
      </c>
      <c r="C32" s="8" t="s">
        <v>190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191</v>
      </c>
      <c r="C33" s="8" t="s">
        <v>192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193</v>
      </c>
      <c r="C34" s="8" t="s">
        <v>194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195</v>
      </c>
      <c r="C35" s="8" t="s">
        <v>196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199</v>
      </c>
      <c r="C37" s="8" t="s">
        <v>200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201</v>
      </c>
      <c r="C38" s="8" t="s">
        <v>202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203</v>
      </c>
      <c r="C39" s="8" t="s">
        <v>204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206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207</v>
      </c>
      <c r="C41" s="8" t="s">
        <v>208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209</v>
      </c>
      <c r="C42" s="8" t="s">
        <v>210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211</v>
      </c>
      <c r="C43" s="8" t="s">
        <v>212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214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215</v>
      </c>
      <c r="C45" s="8" t="s">
        <v>216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217</v>
      </c>
      <c r="C46" s="8" t="s">
        <v>218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219</v>
      </c>
      <c r="C47" s="8" t="s">
        <v>220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222</v>
      </c>
      <c r="C48" s="8" t="s">
        <v>223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224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225</v>
      </c>
      <c r="C50" s="8" t="s">
        <v>226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439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440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441</v>
      </c>
      <c r="B2" s="7" t="s">
        <v>112</v>
      </c>
      <c r="C2" s="7" t="s">
        <v>442</v>
      </c>
      <c r="D2" s="7" t="s">
        <v>443</v>
      </c>
      <c r="E2" s="7" t="s">
        <v>444</v>
      </c>
      <c r="F2" s="7" t="s">
        <v>445</v>
      </c>
      <c r="G2" s="7" t="s">
        <v>446</v>
      </c>
      <c r="H2" s="7" t="s">
        <v>447</v>
      </c>
      <c r="I2" s="7" t="s">
        <v>448</v>
      </c>
      <c r="J2" s="7" t="s">
        <v>449</v>
      </c>
      <c r="K2" s="27" t="s">
        <v>8</v>
      </c>
    </row>
    <row r="3" spans="1:11" ht="15" customHeight="1" x14ac:dyDescent="0.25">
      <c r="A3" s="8">
        <v>1</v>
      </c>
      <c r="B3" s="8" t="s">
        <v>121</v>
      </c>
      <c r="C3" s="8">
        <v>1</v>
      </c>
      <c r="D3" s="9" t="s">
        <v>119</v>
      </c>
      <c r="E3" s="9" t="s">
        <v>125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121</v>
      </c>
      <c r="C4" s="11">
        <v>1</v>
      </c>
      <c r="D4" s="12" t="s">
        <v>128</v>
      </c>
      <c r="E4" s="12" t="s">
        <v>131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121</v>
      </c>
      <c r="C5" s="8">
        <v>2</v>
      </c>
      <c r="D5" s="9" t="s">
        <v>119</v>
      </c>
      <c r="E5" s="9" t="s">
        <v>128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121</v>
      </c>
      <c r="C6" s="11">
        <v>2</v>
      </c>
      <c r="D6" s="12" t="s">
        <v>125</v>
      </c>
      <c r="E6" s="12" t="s">
        <v>131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121</v>
      </c>
      <c r="C7" s="8">
        <v>3</v>
      </c>
      <c r="D7" s="9" t="s">
        <v>119</v>
      </c>
      <c r="E7" s="9" t="s">
        <v>131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121</v>
      </c>
      <c r="C8" s="11">
        <v>3</v>
      </c>
      <c r="D8" s="12" t="s">
        <v>125</v>
      </c>
      <c r="E8" s="12" t="s">
        <v>128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136</v>
      </c>
      <c r="C9" s="8">
        <v>1</v>
      </c>
      <c r="D9" s="9" t="s">
        <v>134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136</v>
      </c>
      <c r="C10" s="11">
        <v>1</v>
      </c>
      <c r="D10" s="12" t="s">
        <v>138</v>
      </c>
      <c r="E10" s="12" t="s">
        <v>140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136</v>
      </c>
      <c r="C11" s="8">
        <v>2</v>
      </c>
      <c r="D11" s="9" t="s">
        <v>134</v>
      </c>
      <c r="E11" s="9" t="s">
        <v>138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136</v>
      </c>
      <c r="C12" s="11">
        <v>2</v>
      </c>
      <c r="D12" s="12" t="s">
        <v>38</v>
      </c>
      <c r="E12" s="12" t="s">
        <v>140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136</v>
      </c>
      <c r="C13" s="8">
        <v>3</v>
      </c>
      <c r="D13" s="9" t="s">
        <v>134</v>
      </c>
      <c r="E13" s="9" t="s">
        <v>140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136</v>
      </c>
      <c r="C14" s="11">
        <v>3</v>
      </c>
      <c r="D14" s="12" t="s">
        <v>38</v>
      </c>
      <c r="E14" s="12" t="s">
        <v>138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144</v>
      </c>
      <c r="C15" s="8">
        <v>1</v>
      </c>
      <c r="D15" s="9" t="s">
        <v>142</v>
      </c>
      <c r="E15" s="9" t="s">
        <v>146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144</v>
      </c>
      <c r="C16" s="11">
        <v>1</v>
      </c>
      <c r="D16" s="12" t="s">
        <v>148</v>
      </c>
      <c r="E16" s="12" t="s">
        <v>150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144</v>
      </c>
      <c r="C17" s="8">
        <v>2</v>
      </c>
      <c r="D17" s="9" t="s">
        <v>142</v>
      </c>
      <c r="E17" s="9" t="s">
        <v>148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144</v>
      </c>
      <c r="C18" s="11">
        <v>2</v>
      </c>
      <c r="D18" s="12" t="s">
        <v>146</v>
      </c>
      <c r="E18" s="12" t="s">
        <v>150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144</v>
      </c>
      <c r="C19" s="8">
        <v>3</v>
      </c>
      <c r="D19" s="9" t="s">
        <v>142</v>
      </c>
      <c r="E19" s="9" t="s">
        <v>150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144</v>
      </c>
      <c r="C20" s="11">
        <v>3</v>
      </c>
      <c r="D20" s="12" t="s">
        <v>146</v>
      </c>
      <c r="E20" s="12" t="s">
        <v>148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154</v>
      </c>
      <c r="C21" s="8">
        <v>1</v>
      </c>
      <c r="D21" s="9" t="s">
        <v>152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154</v>
      </c>
      <c r="C22" s="11">
        <v>1</v>
      </c>
      <c r="D22" s="12" t="s">
        <v>156</v>
      </c>
      <c r="E22" s="12" t="s">
        <v>158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154</v>
      </c>
      <c r="C23" s="8">
        <v>2</v>
      </c>
      <c r="D23" s="9" t="s">
        <v>152</v>
      </c>
      <c r="E23" s="9" t="s">
        <v>156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154</v>
      </c>
      <c r="C24" s="11">
        <v>2</v>
      </c>
      <c r="D24" s="12" t="s">
        <v>19</v>
      </c>
      <c r="E24" s="12" t="s">
        <v>158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154</v>
      </c>
      <c r="C25" s="8">
        <v>3</v>
      </c>
      <c r="D25" s="9" t="s">
        <v>152</v>
      </c>
      <c r="E25" s="9" t="s">
        <v>158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154</v>
      </c>
      <c r="C26" s="11">
        <v>3</v>
      </c>
      <c r="D26" s="12" t="s">
        <v>19</v>
      </c>
      <c r="E26" s="12" t="s">
        <v>156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162</v>
      </c>
      <c r="C27" s="8">
        <v>1</v>
      </c>
      <c r="D27" s="9" t="s">
        <v>160</v>
      </c>
      <c r="E27" s="9" t="s">
        <v>163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162</v>
      </c>
      <c r="C28" s="11">
        <v>1</v>
      </c>
      <c r="D28" s="12" t="s">
        <v>165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162</v>
      </c>
      <c r="C29" s="8">
        <v>2</v>
      </c>
      <c r="D29" s="9" t="s">
        <v>160</v>
      </c>
      <c r="E29" s="9" t="s">
        <v>165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162</v>
      </c>
      <c r="C30" s="11">
        <v>2</v>
      </c>
      <c r="D30" s="12" t="s">
        <v>163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162</v>
      </c>
      <c r="C31" s="8">
        <v>3</v>
      </c>
      <c r="D31" s="9" t="s">
        <v>160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162</v>
      </c>
      <c r="C32" s="11">
        <v>3</v>
      </c>
      <c r="D32" s="12" t="s">
        <v>163</v>
      </c>
      <c r="E32" s="12" t="s">
        <v>165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170</v>
      </c>
      <c r="C33" s="8">
        <v>1</v>
      </c>
      <c r="D33" s="9" t="s">
        <v>168</v>
      </c>
      <c r="E33" s="9" t="s">
        <v>171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170</v>
      </c>
      <c r="C34" s="11">
        <v>1</v>
      </c>
      <c r="D34" s="12" t="s">
        <v>26</v>
      </c>
      <c r="E34" s="12" t="s">
        <v>174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170</v>
      </c>
      <c r="C35" s="8">
        <v>2</v>
      </c>
      <c r="D35" s="9" t="s">
        <v>168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170</v>
      </c>
      <c r="C36" s="11">
        <v>2</v>
      </c>
      <c r="D36" s="12" t="s">
        <v>171</v>
      </c>
      <c r="E36" s="12" t="s">
        <v>174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170</v>
      </c>
      <c r="C37" s="8">
        <v>3</v>
      </c>
      <c r="D37" s="9" t="s">
        <v>168</v>
      </c>
      <c r="E37" s="9" t="s">
        <v>174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170</v>
      </c>
      <c r="C38" s="11">
        <v>3</v>
      </c>
      <c r="D38" s="12" t="s">
        <v>171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178</v>
      </c>
      <c r="C39" s="8">
        <v>1</v>
      </c>
      <c r="D39" s="9" t="s">
        <v>176</v>
      </c>
      <c r="E39" s="9" t="s">
        <v>179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178</v>
      </c>
      <c r="C40" s="11">
        <v>1</v>
      </c>
      <c r="D40" s="12" t="s">
        <v>181</v>
      </c>
      <c r="E40" s="12" t="s">
        <v>183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178</v>
      </c>
      <c r="C41" s="8">
        <v>2</v>
      </c>
      <c r="D41" s="9" t="s">
        <v>176</v>
      </c>
      <c r="E41" s="9" t="s">
        <v>181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178</v>
      </c>
      <c r="C42" s="11">
        <v>2</v>
      </c>
      <c r="D42" s="12" t="s">
        <v>179</v>
      </c>
      <c r="E42" s="12" t="s">
        <v>183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178</v>
      </c>
      <c r="C43" s="8">
        <v>3</v>
      </c>
      <c r="D43" s="9" t="s">
        <v>176</v>
      </c>
      <c r="E43" s="9" t="s">
        <v>183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178</v>
      </c>
      <c r="C44" s="11">
        <v>3</v>
      </c>
      <c r="D44" s="12" t="s">
        <v>179</v>
      </c>
      <c r="E44" s="12" t="s">
        <v>181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188</v>
      </c>
      <c r="C45" s="8">
        <v>1</v>
      </c>
      <c r="D45" s="9" t="s">
        <v>186</v>
      </c>
      <c r="E45" s="9" t="s">
        <v>189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188</v>
      </c>
      <c r="C46" s="11">
        <v>1</v>
      </c>
      <c r="D46" s="12" t="s">
        <v>191</v>
      </c>
      <c r="E46" s="12" t="s">
        <v>193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188</v>
      </c>
      <c r="C47" s="8">
        <v>2</v>
      </c>
      <c r="D47" s="9" t="s">
        <v>186</v>
      </c>
      <c r="E47" s="9" t="s">
        <v>191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188</v>
      </c>
      <c r="C48" s="11">
        <v>2</v>
      </c>
      <c r="D48" s="12" t="s">
        <v>189</v>
      </c>
      <c r="E48" s="12" t="s">
        <v>193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188</v>
      </c>
      <c r="C49" s="8">
        <v>3</v>
      </c>
      <c r="D49" s="9" t="s">
        <v>186</v>
      </c>
      <c r="E49" s="9" t="s">
        <v>193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188</v>
      </c>
      <c r="C50" s="11">
        <v>3</v>
      </c>
      <c r="D50" s="12" t="s">
        <v>189</v>
      </c>
      <c r="E50" s="12" t="s">
        <v>191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197</v>
      </c>
      <c r="C51" s="8">
        <v>1</v>
      </c>
      <c r="D51" s="9" t="s">
        <v>195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197</v>
      </c>
      <c r="C52" s="11">
        <v>1</v>
      </c>
      <c r="D52" s="12" t="s">
        <v>199</v>
      </c>
      <c r="E52" s="12" t="s">
        <v>201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197</v>
      </c>
      <c r="C53" s="8">
        <v>2</v>
      </c>
      <c r="D53" s="9" t="s">
        <v>195</v>
      </c>
      <c r="E53" s="9" t="s">
        <v>199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197</v>
      </c>
      <c r="C54" s="11">
        <v>2</v>
      </c>
      <c r="D54" s="12" t="s">
        <v>35</v>
      </c>
      <c r="E54" s="12" t="s">
        <v>201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197</v>
      </c>
      <c r="C55" s="8">
        <v>3</v>
      </c>
      <c r="D55" s="9" t="s">
        <v>195</v>
      </c>
      <c r="E55" s="9" t="s">
        <v>201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197</v>
      </c>
      <c r="C56" s="11">
        <v>3</v>
      </c>
      <c r="D56" s="12" t="s">
        <v>35</v>
      </c>
      <c r="E56" s="12" t="s">
        <v>199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205</v>
      </c>
      <c r="C57" s="8">
        <v>1</v>
      </c>
      <c r="D57" s="9" t="s">
        <v>203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205</v>
      </c>
      <c r="C58" s="11">
        <v>1</v>
      </c>
      <c r="D58" s="12" t="s">
        <v>207</v>
      </c>
      <c r="E58" s="12" t="s">
        <v>209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205</v>
      </c>
      <c r="C59" s="8">
        <v>2</v>
      </c>
      <c r="D59" s="9" t="s">
        <v>203</v>
      </c>
      <c r="E59" s="9" t="s">
        <v>207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205</v>
      </c>
      <c r="C60" s="11">
        <v>2</v>
      </c>
      <c r="D60" s="12" t="s">
        <v>45</v>
      </c>
      <c r="E60" s="12" t="s">
        <v>209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205</v>
      </c>
      <c r="C61" s="8">
        <v>3</v>
      </c>
      <c r="D61" s="9" t="s">
        <v>203</v>
      </c>
      <c r="E61" s="9" t="s">
        <v>209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205</v>
      </c>
      <c r="C62" s="11">
        <v>3</v>
      </c>
      <c r="D62" s="12" t="s">
        <v>45</v>
      </c>
      <c r="E62" s="12" t="s">
        <v>207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213</v>
      </c>
      <c r="C63" s="8">
        <v>1</v>
      </c>
      <c r="D63" s="9" t="s">
        <v>211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213</v>
      </c>
      <c r="C64" s="11">
        <v>1</v>
      </c>
      <c r="D64" s="12" t="s">
        <v>215</v>
      </c>
      <c r="E64" s="12" t="s">
        <v>217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213</v>
      </c>
      <c r="C65" s="8">
        <v>2</v>
      </c>
      <c r="D65" s="9" t="s">
        <v>211</v>
      </c>
      <c r="E65" s="9" t="s">
        <v>215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213</v>
      </c>
      <c r="C66" s="11">
        <v>2</v>
      </c>
      <c r="D66" s="12" t="s">
        <v>32</v>
      </c>
      <c r="E66" s="12" t="s">
        <v>217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213</v>
      </c>
      <c r="C67" s="8">
        <v>3</v>
      </c>
      <c r="D67" s="9" t="s">
        <v>211</v>
      </c>
      <c r="E67" s="9" t="s">
        <v>217</v>
      </c>
      <c r="F67" s="26">
        <v>0</v>
      </c>
      <c r="G67" s="26">
        <v>0</v>
      </c>
      <c r="H67" s="8">
        <f t="shared" ref="H67:H98" si="6">IF(AND(ISNUMBER(F67),ISNUMBER(G67)),1,0)</f>
        <v>1</v>
      </c>
      <c r="I67" s="8">
        <f t="shared" ref="I67:I98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213</v>
      </c>
      <c r="C68" s="11">
        <v>3</v>
      </c>
      <c r="D68" s="12" t="s">
        <v>32</v>
      </c>
      <c r="E68" s="12" t="s">
        <v>215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221</v>
      </c>
      <c r="C69" s="8">
        <v>1</v>
      </c>
      <c r="D69" s="9" t="s">
        <v>219</v>
      </c>
      <c r="E69" s="9" t="s">
        <v>222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221</v>
      </c>
      <c r="C70" s="11">
        <v>1</v>
      </c>
      <c r="D70" s="12" t="s">
        <v>52</v>
      </c>
      <c r="E70" s="12" t="s">
        <v>225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221</v>
      </c>
      <c r="C71" s="8">
        <v>2</v>
      </c>
      <c r="D71" s="9" t="s">
        <v>219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221</v>
      </c>
      <c r="C72" s="11">
        <v>2</v>
      </c>
      <c r="D72" s="12" t="s">
        <v>222</v>
      </c>
      <c r="E72" s="12" t="s">
        <v>225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221</v>
      </c>
      <c r="C73" s="8">
        <v>3</v>
      </c>
      <c r="D73" s="9" t="s">
        <v>219</v>
      </c>
      <c r="E73" s="9" t="s">
        <v>225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221</v>
      </c>
      <c r="C74" s="11">
        <v>3</v>
      </c>
      <c r="D74" s="12" t="s">
        <v>222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450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112</v>
      </c>
      <c r="B2" s="7" t="s">
        <v>451</v>
      </c>
      <c r="C2" s="7" t="s">
        <v>110</v>
      </c>
      <c r="D2" s="7" t="s">
        <v>236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242</v>
      </c>
      <c r="K2" s="7" t="s">
        <v>424</v>
      </c>
      <c r="L2" s="7" t="s">
        <v>452</v>
      </c>
    </row>
    <row r="3" spans="1:12" ht="15" customHeight="1" x14ac:dyDescent="0.25">
      <c r="A3" s="8" t="s">
        <v>121</v>
      </c>
      <c r="B3" s="8">
        <v>1</v>
      </c>
      <c r="C3" s="29" t="s">
        <v>119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121</v>
      </c>
      <c r="B4" s="8">
        <v>2</v>
      </c>
      <c r="C4" s="29" t="s">
        <v>125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121</v>
      </c>
      <c r="B5" s="8">
        <v>3</v>
      </c>
      <c r="C5" s="29" t="s">
        <v>128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121</v>
      </c>
      <c r="B6" s="8">
        <v>4</v>
      </c>
      <c r="C6" s="29" t="s">
        <v>131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136</v>
      </c>
      <c r="B7" s="11">
        <v>1</v>
      </c>
      <c r="C7" s="30" t="s">
        <v>134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136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136</v>
      </c>
      <c r="B9" s="11">
        <v>3</v>
      </c>
      <c r="C9" s="30" t="s">
        <v>138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136</v>
      </c>
      <c r="B10" s="11">
        <v>4</v>
      </c>
      <c r="C10" s="30" t="s">
        <v>140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144</v>
      </c>
      <c r="B11" s="8">
        <v>1</v>
      </c>
      <c r="C11" s="29" t="s">
        <v>142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144</v>
      </c>
      <c r="B12" s="8">
        <v>2</v>
      </c>
      <c r="C12" s="29" t="s">
        <v>146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144</v>
      </c>
      <c r="B13" s="8">
        <v>3</v>
      </c>
      <c r="C13" s="29" t="s">
        <v>148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144</v>
      </c>
      <c r="B14" s="8">
        <v>4</v>
      </c>
      <c r="C14" s="29" t="s">
        <v>150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154</v>
      </c>
      <c r="B15" s="11">
        <v>1</v>
      </c>
      <c r="C15" s="30" t="s">
        <v>152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154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154</v>
      </c>
      <c r="B17" s="11">
        <v>3</v>
      </c>
      <c r="C17" s="30" t="s">
        <v>156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154</v>
      </c>
      <c r="B18" s="11">
        <v>4</v>
      </c>
      <c r="C18" s="30" t="s">
        <v>158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162</v>
      </c>
      <c r="B19" s="8">
        <v>1</v>
      </c>
      <c r="C19" s="29" t="s">
        <v>160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162</v>
      </c>
      <c r="B20" s="8">
        <v>2</v>
      </c>
      <c r="C20" s="29" t="s">
        <v>163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162</v>
      </c>
      <c r="B21" s="8">
        <v>3</v>
      </c>
      <c r="C21" s="29" t="s">
        <v>165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162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170</v>
      </c>
      <c r="B23" s="11">
        <v>1</v>
      </c>
      <c r="C23" s="30" t="s">
        <v>168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170</v>
      </c>
      <c r="B24" s="11">
        <v>2</v>
      </c>
      <c r="C24" s="30" t="s">
        <v>171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170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170</v>
      </c>
      <c r="B26" s="11">
        <v>4</v>
      </c>
      <c r="C26" s="30" t="s">
        <v>174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178</v>
      </c>
      <c r="B27" s="8">
        <v>1</v>
      </c>
      <c r="C27" s="29" t="s">
        <v>176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178</v>
      </c>
      <c r="B28" s="8">
        <v>2</v>
      </c>
      <c r="C28" s="29" t="s">
        <v>179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178</v>
      </c>
      <c r="B29" s="8">
        <v>3</v>
      </c>
      <c r="C29" s="29" t="s">
        <v>181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178</v>
      </c>
      <c r="B30" s="8">
        <v>4</v>
      </c>
      <c r="C30" s="29" t="s">
        <v>183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188</v>
      </c>
      <c r="B31" s="11">
        <v>1</v>
      </c>
      <c r="C31" s="30" t="s">
        <v>186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188</v>
      </c>
      <c r="B32" s="11">
        <v>2</v>
      </c>
      <c r="C32" s="30" t="s">
        <v>189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188</v>
      </c>
      <c r="B33" s="11">
        <v>3</v>
      </c>
      <c r="C33" s="30" t="s">
        <v>191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188</v>
      </c>
      <c r="B34" s="11">
        <v>4</v>
      </c>
      <c r="C34" s="30" t="s">
        <v>193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197</v>
      </c>
      <c r="B35" s="8">
        <v>1</v>
      </c>
      <c r="C35" s="29" t="s">
        <v>195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197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197</v>
      </c>
      <c r="B37" s="8">
        <v>3</v>
      </c>
      <c r="C37" s="29" t="s">
        <v>199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197</v>
      </c>
      <c r="B38" s="8">
        <v>4</v>
      </c>
      <c r="C38" s="29" t="s">
        <v>201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205</v>
      </c>
      <c r="B39" s="11">
        <v>1</v>
      </c>
      <c r="C39" s="30" t="s">
        <v>203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205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205</v>
      </c>
      <c r="B41" s="11">
        <v>3</v>
      </c>
      <c r="C41" s="30" t="s">
        <v>207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205</v>
      </c>
      <c r="B42" s="11">
        <v>4</v>
      </c>
      <c r="C42" s="30" t="s">
        <v>209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213</v>
      </c>
      <c r="B43" s="8">
        <v>1</v>
      </c>
      <c r="C43" s="29" t="s">
        <v>211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213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213</v>
      </c>
      <c r="B45" s="8">
        <v>3</v>
      </c>
      <c r="C45" s="29" t="s">
        <v>215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213</v>
      </c>
      <c r="B46" s="8">
        <v>4</v>
      </c>
      <c r="C46" s="29" t="s">
        <v>217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221</v>
      </c>
      <c r="B47" s="11">
        <v>1</v>
      </c>
      <c r="C47" s="30" t="s">
        <v>219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221</v>
      </c>
      <c r="B48" s="11">
        <v>2</v>
      </c>
      <c r="C48" s="30" t="s">
        <v>222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221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221</v>
      </c>
      <c r="B50" s="11">
        <v>4</v>
      </c>
      <c r="C50" s="30" t="s">
        <v>225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453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6" activePane="bottomLeft" state="frozen"/>
      <selection pane="bottomLeft" activeCell="C33" sqref="C33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>
        <v>1</v>
      </c>
      <c r="E16" s="26">
        <v>1</v>
      </c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  <c r="K16">
        <v>2</v>
      </c>
      <c r="L16">
        <v>4</v>
      </c>
    </row>
    <row r="17" spans="1:10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>
        <v>3</v>
      </c>
      <c r="E17" s="26">
        <v>2</v>
      </c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0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>
        <v>1</v>
      </c>
      <c r="E18" s="26">
        <v>0</v>
      </c>
      <c r="F18" s="31" t="s">
        <v>52</v>
      </c>
      <c r="G18" s="31" t="s">
        <v>14</v>
      </c>
      <c r="I18" s="23" t="s">
        <v>53</v>
      </c>
      <c r="J18" s="23" t="s">
        <v>54</v>
      </c>
    </row>
    <row r="19" spans="1:10" ht="15" customHeight="1" x14ac:dyDescent="0.25">
      <c r="A19" s="8" t="s">
        <v>55</v>
      </c>
      <c r="B19" s="8">
        <v>1</v>
      </c>
      <c r="C19" s="31" t="str">
        <f>IF(OR(C5="",F5=""),"",IF(OR(D5="",E5=""),"",IF(D5&gt;E5,C5,IF(D5&lt;E5,F5,IF(AND(K5&lt;&gt;"",L5&lt;&gt;""),IF(K5&gt;L5,C5,F5),"")))))</f>
        <v>Paraguay</v>
      </c>
      <c r="D19" s="26">
        <v>0</v>
      </c>
      <c r="E19" s="26">
        <v>1</v>
      </c>
      <c r="F19" s="31" t="str">
        <f>IF(OR(C8="",F8=""),"",IF(OR(D8="",E8=""),"",IF(D8&gt;E8,C8,IF(D8&lt;E8,F8,IF(AND(K8&lt;&gt;"",L8&lt;&gt;""),IF(K8&gt;L8,C8,F8),"")))))</f>
        <v>Francia</v>
      </c>
      <c r="G19" s="31" t="s">
        <v>56</v>
      </c>
    </row>
    <row r="20" spans="1:10" ht="15" customHeight="1" x14ac:dyDescent="0.25">
      <c r="A20" s="8" t="s">
        <v>55</v>
      </c>
      <c r="B20" s="8">
        <v>2</v>
      </c>
      <c r="C20" s="31" t="str">
        <f>IF(OR(C3="",F3=""),"",IF(OR(D3="",E3=""),"",IF(D3&gt;E3,C3,IF(D3&lt;E3,F3,IF(AND(K3&lt;&gt;"",L3&lt;&gt;""),IF(K3&gt;L3,C3,F3),"")))))</f>
        <v>Canadá</v>
      </c>
      <c r="D20" s="26">
        <v>0</v>
      </c>
      <c r="E20" s="26">
        <v>3</v>
      </c>
      <c r="F20" s="31" t="str">
        <f>IF(OR(C6="",F6=""),"",IF(OR(D6="",E6=""),"",IF(D6&gt;E6,C6,IF(D6&lt;E6,F6,IF(AND(K6&lt;&gt;"",L6&lt;&gt;""),IF(K6&gt;L6,C6,F6),"")))))</f>
        <v>Marruecos</v>
      </c>
      <c r="G20" s="31" t="s">
        <v>56</v>
      </c>
    </row>
    <row r="21" spans="1:10" ht="15" customHeight="1" x14ac:dyDescent="0.25">
      <c r="A21" s="8" t="s">
        <v>55</v>
      </c>
      <c r="B21" s="8">
        <v>3</v>
      </c>
      <c r="C21" s="31" t="str">
        <f>IF(OR(C14="",F14=""),"",IF(OR(D14="",E14=""),"",IF(D14&gt;E14,C14,IF(D14&lt;E14,F14,IF(AND(K14&lt;&gt;"",L14&lt;&gt;""),IF(K14&gt;L14,C14,F14),"")))))</f>
        <v>Portugal</v>
      </c>
      <c r="D21" s="26"/>
      <c r="E21" s="26"/>
      <c r="F21" s="31" t="str">
        <f>IF(OR(C13="",F13=""),"",IF(OR(D13="",E13=""),"",IF(D13&gt;E13,C13,IF(D13&lt;E13,F13,IF(AND(K13&lt;&gt;"",L13&lt;&gt;""),IF(K13&gt;L13,C13,F13),"")))))</f>
        <v>España</v>
      </c>
      <c r="G21" s="31" t="s">
        <v>57</v>
      </c>
    </row>
    <row r="22" spans="1:10" ht="15" customHeight="1" x14ac:dyDescent="0.25">
      <c r="A22" s="8" t="s">
        <v>55</v>
      </c>
      <c r="B22" s="8">
        <v>4</v>
      </c>
      <c r="C22" s="31" t="str">
        <f>IF(OR(C12="",F12=""),"",IF(OR(D12="",E12=""),"",IF(D12&gt;E12,C12,IF(D12&lt;E12,F12,IF(AND(K12&lt;&gt;"",L12&lt;&gt;""),IF(K12&gt;L12,C12,F12),"")))))</f>
        <v>Estados Unidos</v>
      </c>
      <c r="D22" s="26"/>
      <c r="E22" s="26"/>
      <c r="F22" s="31" t="str">
        <f>IF(OR(C11="",F11=""),"",IF(OR(D11="",E11=""),"",IF(D11&gt;E11,C11,IF(D11&lt;E11,F11,IF(AND(K11&lt;&gt;"",L11&lt;&gt;""),IF(K11&gt;L11,C11,F11),"")))))</f>
        <v>Bélgica</v>
      </c>
      <c r="G22" s="31" t="s">
        <v>57</v>
      </c>
    </row>
    <row r="23" spans="1:10" ht="15" customHeight="1" x14ac:dyDescent="0.25">
      <c r="A23" s="8" t="s">
        <v>55</v>
      </c>
      <c r="B23" s="8">
        <v>5</v>
      </c>
      <c r="C23" s="31" t="str">
        <f>IF(OR(C4="",F4=""),"",IF(OR(D4="",E4=""),"",IF(D4&gt;E4,C4,IF(D4&lt;E4,F4,IF(AND(K4&lt;&gt;"",L4&lt;&gt;""),IF(K4&gt;L4,C4,F4),"")))))</f>
        <v>Brasil</v>
      </c>
      <c r="D23" s="26">
        <v>1</v>
      </c>
      <c r="E23" s="26">
        <v>2</v>
      </c>
      <c r="F23" s="31" t="str">
        <f>IF(OR(C7="",F7=""),"",IF(OR(D7="",E7=""),"",IF(D7&gt;E7,C7,IF(D7&lt;E7,F7,IF(AND(K7&lt;&gt;"",L7&lt;&gt;""),IF(K7&gt;L7,C7,F7),"")))))</f>
        <v>Noruega</v>
      </c>
      <c r="G23" s="31" t="s">
        <v>56</v>
      </c>
    </row>
    <row r="24" spans="1:10" ht="15" customHeight="1" x14ac:dyDescent="0.25">
      <c r="A24" s="8" t="s">
        <v>55</v>
      </c>
      <c r="B24" s="8">
        <v>6</v>
      </c>
      <c r="C24" s="31" t="str">
        <f>IF(OR(C9="",F9=""),"",IF(OR(D9="",E9=""),"",IF(D9&gt;E9,C9,IF(D9&lt;E9,F9,IF(AND(K9&lt;&gt;"",L9&lt;&gt;""),IF(K9&gt;L9,C9,F9),"")))))</f>
        <v>México</v>
      </c>
      <c r="D24" s="26">
        <v>2</v>
      </c>
      <c r="E24" s="26">
        <v>3</v>
      </c>
      <c r="F24" s="31" t="str">
        <f>IF(OR(C10="",F10=""),"",IF(OR(D10="",E10=""),"",IF(D10&gt;E10,C10,IF(D10&lt;E10,F10,IF(AND(K10&lt;&gt;"",L10&lt;&gt;""),IF(K10&gt;L10,C10,F10),"")))))</f>
        <v>Inglaterra</v>
      </c>
      <c r="G24" s="31" t="s">
        <v>56</v>
      </c>
    </row>
    <row r="25" spans="1:10" ht="15" customHeight="1" x14ac:dyDescent="0.25">
      <c r="A25" s="8" t="s">
        <v>55</v>
      </c>
      <c r="B25" s="8">
        <v>7</v>
      </c>
      <c r="C25" s="31" t="str">
        <f>IF(OR(C17="",F17=""),"",IF(OR(D17="",E17=""),"",IF(D17&gt;E17,C17,IF(D17&lt;E17,F17,IF(AND(K17&lt;&gt;"",L17&lt;&gt;""),IF(K17&gt;L17,C17,F17),"")))))</f>
        <v>Argentina</v>
      </c>
      <c r="D25" s="26"/>
      <c r="E25" s="26"/>
      <c r="F25" s="31" t="str">
        <f>IF(OR(C16="",F16=""),"",IF(OR(D16="",E16=""),"",IF(D16&gt;E16,C16,IF(D16&lt;E16,F16,IF(AND(K16&lt;&gt;"",L16&lt;&gt;""),IF(K16&gt;L16,C16,F16),"")))))</f>
        <v>Egipto</v>
      </c>
      <c r="G25" s="31" t="s">
        <v>57</v>
      </c>
    </row>
    <row r="26" spans="1:10" ht="15" customHeight="1" x14ac:dyDescent="0.25">
      <c r="A26" s="8" t="s">
        <v>55</v>
      </c>
      <c r="B26" s="8">
        <v>8</v>
      </c>
      <c r="C26" s="31" t="str">
        <f>IF(OR(C15="",F15=""),"",IF(OR(D15="",E15=""),"",IF(D15&gt;E15,C15,IF(D15&lt;E15,F15,IF(AND(K15&lt;&gt;"",L15&lt;&gt;""),IF(K15&gt;L15,C15,F15),"")))))</f>
        <v>Suiza</v>
      </c>
      <c r="D26" s="26"/>
      <c r="E26" s="26"/>
      <c r="F26" s="31" t="str">
        <f>IF(OR(C18="",F18=""),"",IF(OR(D18="",E18=""),"",IF(D18&gt;E18,C18,IF(D18&lt;E18,F18,IF(AND(K18&lt;&gt;"",L18&lt;&gt;""),IF(K18&gt;L18,C18,F18),"")))))</f>
        <v>Colombia</v>
      </c>
      <c r="G26" s="31" t="s">
        <v>57</v>
      </c>
    </row>
    <row r="27" spans="1:10" ht="15" customHeight="1" x14ac:dyDescent="0.25">
      <c r="A27" s="8" t="s">
        <v>58</v>
      </c>
      <c r="B27" s="8">
        <v>1</v>
      </c>
      <c r="C27" s="31" t="str">
        <f>IF(OR(C19="",F19=""),"",IF(OR(D19="",E19=""),"",IF(D19&gt;E19,C19,IF(D19&lt;E19,F19,IF(AND(K19&lt;&gt;"",L19&lt;&gt;""),IF(K19&gt;L19,C19,F19),"")))))</f>
        <v>Francia</v>
      </c>
      <c r="D27" s="26"/>
      <c r="E27" s="26"/>
      <c r="F27" s="31" t="str">
        <f>IF(OR(C20="",F20=""),"",IF(OR(D20="",E20=""),"",IF(D20&gt;E20,C20,IF(D20&lt;E20,F20,IF(AND(K20&lt;&gt;"",L20&lt;&gt;""),IF(K20&gt;L20,C20,F20),"")))))</f>
        <v>Marruecos</v>
      </c>
      <c r="G27" s="31" t="s">
        <v>57</v>
      </c>
    </row>
    <row r="28" spans="1:10" ht="15" customHeight="1" x14ac:dyDescent="0.25">
      <c r="A28" s="8" t="s">
        <v>58</v>
      </c>
      <c r="B28" s="8">
        <v>2</v>
      </c>
      <c r="C28" s="31" t="str">
        <f>IF(OR(C21="",F21=""),"",IF(OR(D21="",E21=""),"",IF(D21&gt;E21,C21,IF(D21&lt;E21,F21,IF(AND(K21&lt;&gt;"",L21&lt;&gt;""),IF(K21&gt;L21,C21,F21),"")))))</f>
        <v/>
      </c>
      <c r="D28" s="26"/>
      <c r="E28" s="26"/>
      <c r="F28" s="31" t="str">
        <f>IF(OR(C22="",F22=""),"",IF(OR(D22="",E22=""),"",IF(D22&gt;E22,C22,IF(D22&lt;E22,F22,IF(AND(K22&lt;&gt;"",L22&lt;&gt;""),IF(K22&gt;L22,C22,F22),"")))))</f>
        <v/>
      </c>
      <c r="G28" s="31" t="s">
        <v>57</v>
      </c>
    </row>
    <row r="29" spans="1:10" ht="15" customHeight="1" x14ac:dyDescent="0.25">
      <c r="A29" s="8" t="s">
        <v>58</v>
      </c>
      <c r="B29" s="8">
        <v>3</v>
      </c>
      <c r="C29" s="31" t="str">
        <f>IF(OR(C23="",F23=""),"",IF(OR(D23="",E23=""),"",IF(D23&gt;E23,C23,IF(D23&lt;E23,F23,IF(AND(K23&lt;&gt;"",L23&lt;&gt;""),IF(K23&gt;L23,C23,F23),"")))))</f>
        <v>Noruega</v>
      </c>
      <c r="D29" s="26"/>
      <c r="E29" s="26"/>
      <c r="F29" s="31" t="str">
        <f>IF(OR(C24="",F24=""),"",IF(OR(D24="",E24=""),"",IF(D24&gt;E24,C24,IF(D24&lt;E24,F24,IF(AND(K24&lt;&gt;"",L24&lt;&gt;""),IF(K24&gt;L24,C24,F24),"")))))</f>
        <v>Inglaterra</v>
      </c>
      <c r="G29" s="31" t="s">
        <v>57</v>
      </c>
    </row>
    <row r="30" spans="1:10" ht="15" customHeight="1" x14ac:dyDescent="0.25">
      <c r="A30" s="8" t="s">
        <v>58</v>
      </c>
      <c r="B30" s="8">
        <v>4</v>
      </c>
      <c r="C30" s="31" t="str">
        <f>IF(OR(C25="",F25=""),"",IF(OR(D25="",E25=""),"",IF(D25&gt;E25,C25,IF(D25&lt;E25,F25,IF(AND(K25&lt;&gt;"",L25&lt;&gt;""),IF(K25&gt;L25,C25,F25),"")))))</f>
        <v/>
      </c>
      <c r="D30" s="26"/>
      <c r="E30" s="26"/>
      <c r="F30" s="31" t="str">
        <f>IF(OR(C26="",F26=""),"",IF(OR(D26="",E26=""),"",IF(D26&gt;E26,C26,IF(D26&lt;E26,F26,IF(AND(K26&lt;&gt;"",L26&lt;&gt;""),IF(K26&gt;L26,C26,F26),"")))))</f>
        <v/>
      </c>
      <c r="G30" s="31" t="s">
        <v>57</v>
      </c>
    </row>
    <row r="31" spans="1:10" ht="15" customHeight="1" x14ac:dyDescent="0.25">
      <c r="A31" s="8" t="s">
        <v>59</v>
      </c>
      <c r="B31" s="8">
        <v>1</v>
      </c>
      <c r="C31" s="31" t="str">
        <f>IF(OR(C27="",F27=""),"",IF(OR(D27="",E27=""),"",IF(D27&gt;E27,C27,IF(D27&lt;E27,F27,IF(AND(K27&lt;&gt;"",L27&lt;&gt;""),IF(K27&gt;L27,C27,F27),"")))))</f>
        <v/>
      </c>
      <c r="D31" s="26"/>
      <c r="E31" s="26"/>
      <c r="F31" s="31" t="str">
        <f>IF(OR(C28="",F28=""),"",IF(OR(D28="",E28=""),"",IF(D28&gt;E28,C28,IF(D28&lt;E28,F28,IF(AND(K28&lt;&gt;"",L28&lt;&gt;""),IF(K28&gt;L28,C28,F28),"")))))</f>
        <v/>
      </c>
      <c r="G31" s="31" t="s">
        <v>57</v>
      </c>
    </row>
    <row r="32" spans="1:10" ht="15" customHeight="1" x14ac:dyDescent="0.25">
      <c r="A32" s="8" t="s">
        <v>59</v>
      </c>
      <c r="B32" s="8">
        <v>2</v>
      </c>
      <c r="C32" s="31" t="str">
        <f>IF(OR(C29="",F29=""),"",IF(OR(D29="",E29=""),"",IF(D29&gt;E29,C29,IF(D29&lt;E29,F29,IF(AND(K29&lt;&gt;"",L29&lt;&gt;""),IF(K29&gt;L29,C29,F29),"")))))</f>
        <v/>
      </c>
      <c r="D32" s="26"/>
      <c r="E32" s="26"/>
      <c r="F32" s="31" t="str">
        <f>IF(OR(C30="",F30=""),"",IF(OR(D30="",E30=""),"",IF(D30&gt;E30,C30,IF(D30&lt;E30,F30,IF(AND(K30&lt;&gt;"",L30&lt;&gt;""),IF(K30&gt;L30,C30,F30),"")))))</f>
        <v/>
      </c>
      <c r="G32" s="31" t="s">
        <v>57</v>
      </c>
    </row>
    <row r="33" spans="1:7" ht="15" customHeight="1" x14ac:dyDescent="0.25">
      <c r="A33" s="8" t="s">
        <v>60</v>
      </c>
      <c r="B33" s="8">
        <v>1</v>
      </c>
      <c r="C33" s="31" t="str">
        <f>IF(OR(C31="",F31=""),"",IF(OR(D31="",E31=""),"",IF(D31&gt;E31,F31,IF(D31&lt;E31,C31,IF(AND(K31&lt;&gt;"",L31&lt;&gt;""),IF(K31&gt;L31,F31,C31),"")))))</f>
        <v/>
      </c>
      <c r="D33" s="26"/>
      <c r="E33" s="26"/>
      <c r="F33" s="31" t="str">
        <f>IF(OR(C32="",F32=""),"",IF(OR(D32="",E32=""),"",IF(D32&gt;E32,F32,IF(D32&lt;E32,C32,IF(AND(K32&lt;&gt;"",L32&lt;&gt;""),IF(K32&gt;L32,F32,C32),"")))))</f>
        <v/>
      </c>
      <c r="G33" s="31" t="s">
        <v>57</v>
      </c>
    </row>
    <row r="34" spans="1:7" ht="15" customHeight="1" x14ac:dyDescent="0.25">
      <c r="A34" s="8" t="s">
        <v>61</v>
      </c>
      <c r="B34" s="8">
        <v>1</v>
      </c>
      <c r="C34" s="31" t="str">
        <f>IF(OR(C31="",F31=""),"",IF(OR(D31="",E31=""),"",IF(D31&gt;E31,C31,IF(D31&lt;E31,F31,IF(AND(K31&lt;&gt;"",L31&lt;&gt;""),IF(K31&gt;L31,C31,F31),"")))))</f>
        <v/>
      </c>
      <c r="D34" s="26"/>
      <c r="E34" s="26"/>
      <c r="F34" s="31" t="str">
        <f>IF(OR(C32="",F32=""),"",IF(OR(D32="",E32=""),"",IF(D32&gt;E32,C32,IF(D32&lt;E32,F32,IF(AND(K32&lt;&gt;"",L32&lt;&gt;""),IF(K32&gt;L32,C32,F32),"")))))</f>
        <v/>
      </c>
      <c r="G34" s="31" t="s">
        <v>57</v>
      </c>
    </row>
    <row r="35" spans="1:7" ht="15.75" customHeight="1" x14ac:dyDescent="0.25"/>
    <row r="36" spans="1:7" ht="15" customHeight="1" x14ac:dyDescent="0.25">
      <c r="A36" s="32" t="s">
        <v>62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454</v>
      </c>
    </row>
    <row r="2" spans="1:4" x14ac:dyDescent="0.25">
      <c r="A2" s="27" t="s">
        <v>455</v>
      </c>
      <c r="B2" s="27" t="s">
        <v>110</v>
      </c>
      <c r="C2" s="27" t="s">
        <v>456</v>
      </c>
      <c r="D2" s="27" t="s">
        <v>457</v>
      </c>
    </row>
    <row r="3" spans="1:4" x14ac:dyDescent="0.25">
      <c r="A3" s="23" t="s">
        <v>458</v>
      </c>
      <c r="B3" s="23" t="s">
        <v>119</v>
      </c>
      <c r="C3" s="23" t="s">
        <v>459</v>
      </c>
      <c r="D3" s="23">
        <v>2240</v>
      </c>
    </row>
    <row r="4" spans="1:4" x14ac:dyDescent="0.25">
      <c r="A4" s="23" t="s">
        <v>460</v>
      </c>
      <c r="B4" s="23" t="s">
        <v>119</v>
      </c>
      <c r="C4" s="23" t="s">
        <v>461</v>
      </c>
      <c r="D4" s="23">
        <v>1560</v>
      </c>
    </row>
    <row r="5" spans="1:4" x14ac:dyDescent="0.25">
      <c r="A5" s="23" t="s">
        <v>462</v>
      </c>
      <c r="B5" s="23" t="s">
        <v>119</v>
      </c>
      <c r="C5" s="23" t="s">
        <v>463</v>
      </c>
      <c r="D5" s="23">
        <v>500</v>
      </c>
    </row>
    <row r="6" spans="1:4" x14ac:dyDescent="0.25">
      <c r="A6" s="23" t="s">
        <v>464</v>
      </c>
      <c r="B6" s="23" t="s">
        <v>134</v>
      </c>
      <c r="C6" s="23" t="s">
        <v>465</v>
      </c>
      <c r="D6" s="23">
        <v>76</v>
      </c>
    </row>
    <row r="7" spans="1:4" x14ac:dyDescent="0.25">
      <c r="A7" s="23" t="s">
        <v>466</v>
      </c>
      <c r="B7" s="23" t="s">
        <v>134</v>
      </c>
      <c r="C7" s="23" t="s">
        <v>467</v>
      </c>
      <c r="D7" s="23">
        <v>0</v>
      </c>
    </row>
    <row r="8" spans="1:4" x14ac:dyDescent="0.25">
      <c r="A8" s="23" t="s">
        <v>468</v>
      </c>
      <c r="B8" s="23" t="s">
        <v>152</v>
      </c>
      <c r="C8" s="23" t="s">
        <v>469</v>
      </c>
      <c r="D8" s="23">
        <v>3</v>
      </c>
    </row>
    <row r="9" spans="1:4" x14ac:dyDescent="0.25">
      <c r="A9" s="23" t="s">
        <v>470</v>
      </c>
      <c r="B9" s="23" t="s">
        <v>152</v>
      </c>
      <c r="C9" s="23" t="s">
        <v>471</v>
      </c>
      <c r="D9" s="23">
        <v>150</v>
      </c>
    </row>
    <row r="10" spans="1:4" x14ac:dyDescent="0.25">
      <c r="A10" s="23" t="s">
        <v>472</v>
      </c>
      <c r="B10" s="23" t="s">
        <v>152</v>
      </c>
      <c r="C10" s="23" t="s">
        <v>473</v>
      </c>
      <c r="D10" s="23">
        <v>30</v>
      </c>
    </row>
    <row r="11" spans="1:4" x14ac:dyDescent="0.25">
      <c r="A11" s="23" t="s">
        <v>474</v>
      </c>
      <c r="B11" s="23" t="s">
        <v>152</v>
      </c>
      <c r="C11" s="23" t="s">
        <v>475</v>
      </c>
      <c r="D11" s="23">
        <v>270</v>
      </c>
    </row>
    <row r="12" spans="1:4" x14ac:dyDescent="0.25">
      <c r="A12" s="23" t="s">
        <v>476</v>
      </c>
      <c r="B12" s="23" t="s">
        <v>152</v>
      </c>
      <c r="C12" s="23" t="s">
        <v>477</v>
      </c>
      <c r="D12" s="23">
        <v>5</v>
      </c>
    </row>
    <row r="13" spans="1:4" x14ac:dyDescent="0.25">
      <c r="A13" s="23" t="s">
        <v>478</v>
      </c>
      <c r="B13" s="23" t="s">
        <v>152</v>
      </c>
      <c r="C13" s="23" t="s">
        <v>479</v>
      </c>
      <c r="D13" s="23">
        <v>15</v>
      </c>
    </row>
    <row r="14" spans="1:4" x14ac:dyDescent="0.25">
      <c r="A14" s="23" t="s">
        <v>480</v>
      </c>
      <c r="B14" s="23" t="s">
        <v>152</v>
      </c>
      <c r="C14" s="23" t="s">
        <v>481</v>
      </c>
      <c r="D14" s="23">
        <v>12</v>
      </c>
    </row>
    <row r="15" spans="1:4" x14ac:dyDescent="0.25">
      <c r="A15" s="23" t="s">
        <v>482</v>
      </c>
      <c r="B15" s="23" t="s">
        <v>152</v>
      </c>
      <c r="C15" s="23" t="s">
        <v>483</v>
      </c>
      <c r="D15" s="23">
        <v>320</v>
      </c>
    </row>
    <row r="16" spans="1:4" x14ac:dyDescent="0.25">
      <c r="A16" s="23" t="s">
        <v>484</v>
      </c>
      <c r="B16" s="23" t="s">
        <v>152</v>
      </c>
      <c r="C16" s="23" t="s">
        <v>485</v>
      </c>
      <c r="D16" s="23">
        <v>30</v>
      </c>
    </row>
    <row r="17" spans="1:4" x14ac:dyDescent="0.25">
      <c r="A17" s="23" t="s">
        <v>486</v>
      </c>
      <c r="B17" s="23" t="s">
        <v>152</v>
      </c>
      <c r="C17" s="23" t="s">
        <v>487</v>
      </c>
      <c r="D17" s="23">
        <v>2</v>
      </c>
    </row>
    <row r="18" spans="1:4" x14ac:dyDescent="0.25">
      <c r="A18" s="23" t="s">
        <v>488</v>
      </c>
      <c r="B18" s="23" t="s">
        <v>152</v>
      </c>
      <c r="C18" s="23" t="s">
        <v>489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2026-07-06T15:15:40Z</dcterms:modified>
</cp:coreProperties>
</file>