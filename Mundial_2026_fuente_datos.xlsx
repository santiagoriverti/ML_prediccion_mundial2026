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nti\OneDrive\Escritorio\Repositorios\ML_prediccion_mundial2026\"/>
    </mc:Choice>
  </mc:AlternateContent>
  <xr:revisionPtr revIDLastSave="0" documentId="13_ncr:1_{A753A2F0-3740-4842-A995-A38F34C3FAE3}" xr6:coauthVersionLast="47" xr6:coauthVersionMax="47" xr10:uidLastSave="{00000000-0000-0000-0000-000000000000}"/>
  <bookViews>
    <workbookView xWindow="-120" yWindow="-120" windowWidth="29040" windowHeight="15840" activeTab="6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MaYF7i2qwkTtpN5/kfnZc0YCA4QTsqvRNyQpb/p6BgU="/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E3" i="8" l="1"/>
  <c r="D3" i="8"/>
  <c r="I50" i="8"/>
  <c r="F50" i="8"/>
  <c r="F49" i="8"/>
  <c r="H48" i="8"/>
  <c r="E48" i="8"/>
  <c r="F47" i="8"/>
  <c r="H46" i="8"/>
  <c r="D46" i="8"/>
  <c r="G45" i="8"/>
  <c r="H44" i="8"/>
  <c r="D44" i="8"/>
  <c r="F43" i="8"/>
  <c r="H42" i="8"/>
  <c r="H41" i="8"/>
  <c r="F34" i="8"/>
  <c r="F33" i="8"/>
  <c r="E32" i="8"/>
  <c r="K32" i="8" s="1"/>
  <c r="H30" i="8"/>
  <c r="J30" i="8" s="1"/>
  <c r="I29" i="8"/>
  <c r="I28" i="8"/>
  <c r="I27" i="8"/>
  <c r="I26" i="8"/>
  <c r="D18" i="8"/>
  <c r="D17" i="8"/>
  <c r="E16" i="8"/>
  <c r="H14" i="8"/>
  <c r="G13" i="8"/>
  <c r="E12" i="8"/>
  <c r="E4" i="8"/>
  <c r="J57" i="7"/>
  <c r="F41" i="8"/>
  <c r="E41" i="8"/>
  <c r="D41" i="8"/>
  <c r="I40" i="8"/>
  <c r="H40" i="8"/>
  <c r="G40" i="8"/>
  <c r="F40" i="8"/>
  <c r="E40" i="8"/>
  <c r="D40" i="8"/>
  <c r="I39" i="8"/>
  <c r="H39" i="8"/>
  <c r="G39" i="8"/>
  <c r="F39" i="8"/>
  <c r="E39" i="8"/>
  <c r="D39" i="8"/>
  <c r="I38" i="8"/>
  <c r="H38" i="8"/>
  <c r="G38" i="8"/>
  <c r="F38" i="8"/>
  <c r="E38" i="8"/>
  <c r="D38" i="8"/>
  <c r="I37" i="8"/>
  <c r="H37" i="8"/>
  <c r="G37" i="8"/>
  <c r="F37" i="8"/>
  <c r="E37" i="8"/>
  <c r="K37" i="8" s="1"/>
  <c r="D37" i="8"/>
  <c r="I36" i="8"/>
  <c r="H36" i="8"/>
  <c r="J36" i="8" s="1"/>
  <c r="G36" i="8"/>
  <c r="F36" i="8"/>
  <c r="E36" i="8"/>
  <c r="D36" i="8"/>
  <c r="I35" i="8"/>
  <c r="H35" i="8"/>
  <c r="G35" i="8"/>
  <c r="F35" i="8"/>
  <c r="E35" i="8"/>
  <c r="D35" i="8"/>
  <c r="G34" i="8"/>
  <c r="H33" i="8"/>
  <c r="I32" i="8"/>
  <c r="H31" i="8"/>
  <c r="J31" i="8" s="1"/>
  <c r="D31" i="8"/>
  <c r="F30" i="8"/>
  <c r="E29" i="8"/>
  <c r="K29" i="8" s="1"/>
  <c r="H27" i="8"/>
  <c r="J27" i="8" s="1"/>
  <c r="H26" i="8"/>
  <c r="J26" i="8" s="1"/>
  <c r="H17" i="8"/>
  <c r="J17" i="8" s="1"/>
  <c r="G16" i="8"/>
  <c r="E15" i="8"/>
  <c r="I13" i="8"/>
  <c r="H12" i="8"/>
  <c r="J12" i="8" s="1"/>
  <c r="G11" i="8"/>
  <c r="F26" i="8"/>
  <c r="E26" i="8"/>
  <c r="D26" i="8"/>
  <c r="I25" i="8"/>
  <c r="H25" i="8"/>
  <c r="G25" i="8"/>
  <c r="F25" i="8"/>
  <c r="E25" i="8"/>
  <c r="D25" i="8"/>
  <c r="I24" i="8"/>
  <c r="H24" i="8"/>
  <c r="G24" i="8"/>
  <c r="F24" i="8"/>
  <c r="E24" i="8"/>
  <c r="D24" i="8"/>
  <c r="I23" i="8"/>
  <c r="H23" i="8"/>
  <c r="G23" i="8"/>
  <c r="F23" i="8"/>
  <c r="E23" i="8"/>
  <c r="K23" i="8" s="1"/>
  <c r="D23" i="8"/>
  <c r="I22" i="8"/>
  <c r="H22" i="8"/>
  <c r="J22" i="8" s="1"/>
  <c r="G22" i="8"/>
  <c r="F22" i="8"/>
  <c r="E22" i="8"/>
  <c r="K22" i="8" s="1"/>
  <c r="D22" i="8"/>
  <c r="I21" i="8"/>
  <c r="H21" i="8"/>
  <c r="J21" i="8" s="1"/>
  <c r="G21" i="8"/>
  <c r="F21" i="8"/>
  <c r="E21" i="8"/>
  <c r="K21" i="8" s="1"/>
  <c r="D21" i="8"/>
  <c r="I20" i="8"/>
  <c r="H20" i="8"/>
  <c r="G20" i="8"/>
  <c r="F20" i="8"/>
  <c r="E20" i="8"/>
  <c r="D20" i="8"/>
  <c r="I19" i="8"/>
  <c r="H19" i="8"/>
  <c r="G19" i="8"/>
  <c r="F19" i="8"/>
  <c r="E19" i="8"/>
  <c r="D19" i="8"/>
  <c r="I18" i="8"/>
  <c r="H18" i="8"/>
  <c r="G18" i="8"/>
  <c r="F18" i="8"/>
  <c r="F17" i="8"/>
  <c r="D16" i="8"/>
  <c r="F15" i="8"/>
  <c r="E14" i="8"/>
  <c r="D13" i="8"/>
  <c r="F12" i="8"/>
  <c r="G4" i="8"/>
  <c r="F3" i="8"/>
  <c r="F11" i="8"/>
  <c r="E11" i="8"/>
  <c r="D11" i="8"/>
  <c r="I10" i="8"/>
  <c r="H10" i="8"/>
  <c r="G10" i="8"/>
  <c r="F10" i="8"/>
  <c r="E10" i="8"/>
  <c r="D10" i="8"/>
  <c r="I9" i="8"/>
  <c r="H9" i="8"/>
  <c r="G9" i="8"/>
  <c r="F9" i="8"/>
  <c r="E9" i="8"/>
  <c r="D9" i="8"/>
  <c r="I8" i="8"/>
  <c r="H8" i="8"/>
  <c r="J8" i="8" s="1"/>
  <c r="G8" i="8"/>
  <c r="F8" i="8"/>
  <c r="E8" i="8"/>
  <c r="D8" i="8"/>
  <c r="I7" i="8"/>
  <c r="H7" i="8"/>
  <c r="J7" i="8" s="1"/>
  <c r="G7" i="8"/>
  <c r="F7" i="8"/>
  <c r="E7" i="8"/>
  <c r="K7" i="8" s="1"/>
  <c r="D7" i="8"/>
  <c r="I6" i="8"/>
  <c r="H6" i="8"/>
  <c r="G6" i="8"/>
  <c r="F6" i="8"/>
  <c r="E6" i="8"/>
  <c r="D6" i="8"/>
  <c r="I5" i="8"/>
  <c r="H5" i="8"/>
  <c r="J5" i="8" s="1"/>
  <c r="G5" i="8"/>
  <c r="F5" i="8"/>
  <c r="E5" i="8"/>
  <c r="D5" i="8"/>
  <c r="I4" i="8"/>
  <c r="H3" i="8"/>
  <c r="J58" i="7"/>
  <c r="I57" i="7"/>
  <c r="I56" i="7"/>
  <c r="J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F32" i="8"/>
  <c r="I30" i="8"/>
  <c r="H29" i="8"/>
  <c r="H28" i="8"/>
  <c r="D28" i="8"/>
  <c r="F27" i="8"/>
  <c r="I17" i="8"/>
  <c r="H16" i="8"/>
  <c r="G15" i="8"/>
  <c r="D14" i="8"/>
  <c r="F13" i="8"/>
  <c r="H11" i="8"/>
  <c r="I3" i="8"/>
  <c r="I71" i="7"/>
  <c r="J70" i="7"/>
  <c r="I70" i="7"/>
  <c r="J68" i="7"/>
  <c r="J66" i="7"/>
  <c r="I66" i="7"/>
  <c r="J64" i="7"/>
  <c r="I64" i="7"/>
  <c r="J62" i="7"/>
  <c r="I62" i="7"/>
  <c r="I61" i="7"/>
  <c r="J60" i="7"/>
  <c r="I60" i="7"/>
  <c r="I58" i="7"/>
  <c r="I55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E50" i="8"/>
  <c r="G49" i="8"/>
  <c r="I48" i="8"/>
  <c r="F48" i="8"/>
  <c r="I47" i="8"/>
  <c r="G47" i="8"/>
  <c r="I46" i="8"/>
  <c r="E46" i="8"/>
  <c r="H45" i="8"/>
  <c r="D45" i="8"/>
  <c r="I44" i="8"/>
  <c r="E44" i="8"/>
  <c r="G43" i="8"/>
  <c r="I42" i="8"/>
  <c r="F42" i="8"/>
  <c r="I41" i="8"/>
  <c r="H34" i="8"/>
  <c r="D34" i="8"/>
  <c r="G33" i="8"/>
  <c r="H32" i="8"/>
  <c r="I31" i="8"/>
  <c r="E31" i="8"/>
  <c r="G30" i="8"/>
  <c r="F29" i="8"/>
  <c r="G28" i="8"/>
  <c r="G27" i="8"/>
  <c r="G26" i="8"/>
  <c r="E17" i="8"/>
  <c r="I15" i="8"/>
  <c r="D15" i="8"/>
  <c r="F14" i="8"/>
  <c r="E13" i="8"/>
  <c r="K13" i="8" s="1"/>
  <c r="D12" i="8"/>
  <c r="H4" i="8"/>
  <c r="G3" i="8"/>
  <c r="G50" i="8"/>
  <c r="I49" i="8"/>
  <c r="E49" i="8"/>
  <c r="K49" i="8" s="1"/>
  <c r="E47" i="8"/>
  <c r="F46" i="8"/>
  <c r="E45" i="8"/>
  <c r="F44" i="8"/>
  <c r="H43" i="8"/>
  <c r="D43" i="8"/>
  <c r="G42" i="8"/>
  <c r="D42" i="8"/>
  <c r="I34" i="8"/>
  <c r="I33" i="8"/>
  <c r="D33" i="8"/>
  <c r="G32" i="8"/>
  <c r="F31" i="8"/>
  <c r="D30" i="8"/>
  <c r="G29" i="8"/>
  <c r="E28" i="8"/>
  <c r="D27" i="8"/>
  <c r="E18" i="8"/>
  <c r="I16" i="8"/>
  <c r="H15" i="8"/>
  <c r="G14" i="8"/>
  <c r="I12" i="8"/>
  <c r="I11" i="8"/>
  <c r="D4" i="8"/>
  <c r="H50" i="8"/>
  <c r="D50" i="8"/>
  <c r="H49" i="8"/>
  <c r="D49" i="8"/>
  <c r="G48" i="8"/>
  <c r="D48" i="8"/>
  <c r="H47" i="8"/>
  <c r="J47" i="8" s="1"/>
  <c r="D47" i="8"/>
  <c r="G46" i="8"/>
  <c r="I45" i="8"/>
  <c r="F45" i="8"/>
  <c r="G44" i="8"/>
  <c r="I43" i="8"/>
  <c r="E43" i="8"/>
  <c r="E42" i="8"/>
  <c r="G41" i="8"/>
  <c r="E34" i="8"/>
  <c r="E33" i="8"/>
  <c r="D32" i="8"/>
  <c r="G31" i="8"/>
  <c r="E30" i="8"/>
  <c r="D29" i="8"/>
  <c r="F28" i="8"/>
  <c r="E27" i="8"/>
  <c r="K27" i="8" s="1"/>
  <c r="G17" i="8"/>
  <c r="F16" i="8"/>
  <c r="I14" i="8"/>
  <c r="H13" i="8"/>
  <c r="G12" i="8"/>
  <c r="F4" i="8"/>
  <c r="J74" i="7"/>
  <c r="I74" i="7"/>
  <c r="J73" i="7"/>
  <c r="I73" i="7"/>
  <c r="J72" i="7"/>
  <c r="I72" i="7"/>
  <c r="J71" i="7"/>
  <c r="J69" i="7"/>
  <c r="I69" i="7"/>
  <c r="I68" i="7"/>
  <c r="J67" i="7"/>
  <c r="I67" i="7"/>
  <c r="J65" i="7"/>
  <c r="I65" i="7"/>
  <c r="J63" i="7"/>
  <c r="I63" i="7"/>
  <c r="J61" i="7"/>
  <c r="J59" i="7"/>
  <c r="I59" i="7"/>
  <c r="J56" i="7"/>
  <c r="K9" i="8" l="1"/>
  <c r="J40" i="8"/>
  <c r="J38" i="8"/>
  <c r="K39" i="8"/>
  <c r="K5" i="8"/>
  <c r="K41" i="8"/>
  <c r="J50" i="8"/>
  <c r="J18" i="8"/>
  <c r="K38" i="8"/>
  <c r="K19" i="8"/>
  <c r="K8" i="8"/>
  <c r="J39" i="8"/>
  <c r="J9" i="8"/>
  <c r="K35" i="8"/>
  <c r="J6" i="8"/>
  <c r="K14" i="8"/>
  <c r="J3" i="8"/>
  <c r="J25" i="8"/>
  <c r="K25" i="8"/>
  <c r="J11" i="8"/>
  <c r="K45" i="8"/>
  <c r="J43" i="8"/>
  <c r="J20" i="8"/>
  <c r="K47" i="8"/>
  <c r="K43" i="8"/>
  <c r="K42" i="8"/>
  <c r="K34" i="8"/>
  <c r="K33" i="8"/>
  <c r="K6" i="8"/>
  <c r="J23" i="8"/>
  <c r="J19" i="8"/>
  <c r="J37" i="8"/>
  <c r="K10" i="8"/>
  <c r="K20" i="8"/>
  <c r="J44" i="8"/>
  <c r="J42" i="8"/>
  <c r="J41" i="8"/>
  <c r="K24" i="8"/>
  <c r="J33" i="8"/>
  <c r="K16" i="8"/>
  <c r="J14" i="8"/>
  <c r="J35" i="8"/>
  <c r="K50" i="8"/>
  <c r="J15" i="8"/>
  <c r="K4" i="8"/>
  <c r="K40" i="8"/>
  <c r="K36" i="8"/>
  <c r="K26" i="8"/>
  <c r="J48" i="8"/>
  <c r="K48" i="8"/>
  <c r="J46" i="8"/>
  <c r="K11" i="8"/>
  <c r="J28" i="8"/>
  <c r="J16" i="8"/>
  <c r="K3" i="8"/>
  <c r="K46" i="8"/>
  <c r="J32" i="8"/>
  <c r="K31" i="8"/>
  <c r="K17" i="8"/>
  <c r="J4" i="8"/>
  <c r="K18" i="8"/>
  <c r="K12" i="8"/>
  <c r="J24" i="8"/>
  <c r="J10" i="8"/>
  <c r="J29" i="8"/>
  <c r="J34" i="8"/>
  <c r="K28" i="8"/>
  <c r="J13" i="8"/>
  <c r="J45" i="8"/>
  <c r="K44" i="8"/>
  <c r="J49" i="8"/>
  <c r="K30" i="8"/>
  <c r="K15" i="8"/>
  <c r="L38" i="8" l="1"/>
  <c r="L19" i="8"/>
  <c r="L21" i="8"/>
  <c r="L22" i="8"/>
  <c r="L36" i="8"/>
  <c r="L42" i="8"/>
  <c r="L35" i="8"/>
  <c r="L23" i="8"/>
  <c r="L10" i="8"/>
  <c r="L8" i="8"/>
  <c r="L46" i="8"/>
  <c r="L41" i="8"/>
  <c r="L9" i="8"/>
  <c r="L20" i="8"/>
  <c r="L7" i="8"/>
  <c r="L37" i="8"/>
  <c r="L40" i="8"/>
  <c r="L24" i="8"/>
  <c r="L25" i="8"/>
  <c r="L26" i="8"/>
  <c r="L39" i="8"/>
  <c r="L47" i="8"/>
  <c r="L45" i="8"/>
  <c r="L44" i="8"/>
  <c r="L14" i="8"/>
  <c r="L13" i="8"/>
  <c r="L11" i="8"/>
  <c r="L12" i="8"/>
  <c r="L6" i="8"/>
  <c r="L5" i="8"/>
  <c r="L4" i="8"/>
  <c r="L3" i="8"/>
  <c r="L34" i="8"/>
  <c r="L33" i="8"/>
  <c r="L32" i="8"/>
  <c r="L31" i="8"/>
  <c r="L18" i="8"/>
  <c r="L15" i="8"/>
  <c r="L17" i="8"/>
  <c r="L16" i="8"/>
  <c r="L48" i="8"/>
  <c r="L50" i="8"/>
  <c r="L49" i="8"/>
  <c r="L43" i="8"/>
  <c r="L27" i="8"/>
  <c r="L29" i="8"/>
  <c r="L30" i="8"/>
  <c r="L28" i="8"/>
  <c r="C4" i="9" l="1" a="1"/>
  <c r="C4" i="9" s="1"/>
  <c r="C6" i="9" a="1"/>
  <c r="C6" i="9" s="1"/>
  <c r="C7" i="9" a="1"/>
  <c r="C7" i="9" s="1"/>
  <c r="C8" i="9" a="1"/>
  <c r="C8" i="9" s="1"/>
  <c r="C10" i="9" a="1"/>
  <c r="C10" i="9" s="1"/>
  <c r="C12" i="9" a="1"/>
  <c r="C12" i="9" s="1"/>
  <c r="F13" i="9" a="1"/>
  <c r="F13" i="9" s="1"/>
  <c r="C14" i="9" a="1"/>
  <c r="C14" i="9" s="1"/>
  <c r="C15" i="9" a="1"/>
  <c r="C15" i="9" s="1"/>
  <c r="C16" i="9" a="1"/>
  <c r="C16" i="9" s="1"/>
  <c r="F16" i="9" a="1"/>
  <c r="F16" i="9" s="1"/>
  <c r="C17" i="9" a="1"/>
  <c r="C17" i="9" s="1"/>
  <c r="F17" i="9" a="1"/>
  <c r="F17" i="9" s="1"/>
  <c r="C18" i="9" a="1"/>
  <c r="C18" i="9" s="1"/>
  <c r="F3" i="9" a="1"/>
  <c r="F3" i="9" s="1"/>
  <c r="F4" i="9" a="1"/>
  <c r="F4" i="9" s="1"/>
  <c r="F6" i="9" a="1"/>
  <c r="F6" i="9" s="1"/>
  <c r="F7" i="9" a="1"/>
  <c r="F7" i="9" s="1"/>
  <c r="C9" i="9" a="1"/>
  <c r="C9" i="9" s="1"/>
  <c r="C11" i="9" a="1"/>
  <c r="C11" i="9" s="1"/>
  <c r="C13" i="9" a="1"/>
  <c r="C13" i="9" s="1"/>
  <c r="F14" i="9" a="1"/>
  <c r="F14" i="9" s="1"/>
  <c r="C3" i="9" a="1"/>
  <c r="C3" i="9" s="1"/>
  <c r="C5" i="9" a="1"/>
  <c r="C5" i="9" s="1"/>
</calcChain>
</file>

<file path=xl/sharedStrings.xml><?xml version="1.0" encoding="utf-8"?>
<sst xmlns="http://schemas.openxmlformats.org/spreadsheetml/2006/main" count="1467" uniqueCount="486">
  <si>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</si>
  <si>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</si>
  <si>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</si>
  <si>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</si>
  <si>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</si>
  <si>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</si>
  <si>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</si>
  <si>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</si>
  <si>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</si>
  <si>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</si>
  <si>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</si>
  <si>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</si>
  <si>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</si>
  <si>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</si>
  <si>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</si>
  <si>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</si>
  <si>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</si>
  <si>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</si>
  <si>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</si>
  <si>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</si>
  <si>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</si>
  <si>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</si>
  <si>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</si>
  <si>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</si>
  <si>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</si>
  <si>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</si>
  <si>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</si>
  <si>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</si>
  <si>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</si>
  <si>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</si>
  <si>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</si>
  <si>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</si>
  <si>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</si>
  <si>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</si>
  <si>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</si>
  <si>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</si>
  <si>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</si>
  <si>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</si>
  <si>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</si>
  <si>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</si>
  <si>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</si>
  <si>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</si>
  <si>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</si>
  <si>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</si>
  <si>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</si>
  <si>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</si>
  <si>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</si>
  <si>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</si>
  <si>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</si>
  <si>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</si>
  <si>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</si>
  <si>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</si>
  <si>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</si>
  <si>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</si>
  <si>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Sede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</si>
  <si>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</si>
  <si>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</si>
  <si>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</si>
  <si>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</si>
  <si>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</si>
  <si>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</si>
  <si>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</si>
  <si>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</si>
  <si>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</si>
  <si>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</si>
  <si>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</si>
  <si>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</si>
  <si>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</si>
  <si>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</si>
  <si>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</si>
  <si>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</si>
  <si>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</si>
  <si>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</si>
  <si>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</si>
  <si>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</si>
  <si>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Bosnia y Herzegovina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</si>
  <si>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</si>
  <si>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</si>
  <si>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</si>
  <si>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</si>
  <si>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</si>
  <si>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</si>
  <si>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</si>
  <si>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</si>
  <si>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</si>
  <si>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</si>
  <si>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</si>
  <si>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</si>
  <si>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</si>
  <si>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</si>
  <si>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</si>
  <si>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</si>
  <si>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</si>
  <si>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</si>
  <si>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Paraguay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</si>
  <si>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</si>
  <si>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</si>
  <si>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</si>
  <si>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</si>
  <si>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</si>
  <si>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</si>
  <si>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</si>
  <si>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</si>
  <si>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</si>
  <si>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</si>
  <si>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</si>
  <si>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</si>
  <si>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Ecuador</t>
  </si>
  <si>
    <t>ECU</t>
  </si>
  <si>
    <t>Países Bajos</t>
  </si>
  <si>
    <t>NED</t>
  </si>
  <si>
    <t>F</t>
  </si>
  <si>
    <t>Japón</t>
  </si>
  <si>
    <t>JPN</t>
  </si>
  <si>
    <t>Suecia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</si>
  <si>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</si>
  <si>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</si>
  <si>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</si>
  <si>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</si>
  <si>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</si>
  <si>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</si>
  <si>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</si>
  <si>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</si>
  <si>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</si>
  <si>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</si>
  <si>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</si>
  <si>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</si>
  <si>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</si>
  <si>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</si>
  <si>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</si>
  <si>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</si>
  <si>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</si>
  <si>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</si>
  <si>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</si>
  <si>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</si>
  <si>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</si>
  <si>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</si>
  <si>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</si>
  <si>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</si>
  <si>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</si>
  <si>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Senegal</t>
  </si>
  <si>
    <t>SEN</t>
  </si>
  <si>
    <t>Irak</t>
  </si>
  <si>
    <t>IRQ</t>
  </si>
  <si>
    <t>Noruega</t>
  </si>
  <si>
    <t>NOR</t>
  </si>
  <si>
    <t>Argentina</t>
  </si>
  <si>
    <t>ARG</t>
  </si>
  <si>
    <t>J</t>
  </si>
  <si>
    <t>Argelia</t>
  </si>
  <si>
    <t>ALG</t>
  </si>
  <si>
    <t>Austria</t>
  </si>
  <si>
    <t>AUT</t>
  </si>
  <si>
    <t>Jordania</t>
  </si>
  <si>
    <t>JOR</t>
  </si>
  <si>
    <t>Portugal</t>
  </si>
  <si>
    <t>POR</t>
  </si>
  <si>
    <t>K</t>
  </si>
  <si>
    <t>RD Congo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</si>
  <si>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</si>
  <si>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</si>
  <si>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</si>
  <si>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</si>
  <si>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</si>
  <si>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</si>
  <si>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</si>
  <si>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</si>
  <si>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</si>
  <si>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</si>
  <si>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Ghana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</si>
  <si>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</si>
  <si>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</si>
  <si>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</si>
  <si>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</si>
  <si>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</si>
  <si>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</si>
  <si>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</si>
  <si>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</si>
  <si>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</si>
  <si>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</si>
  <si>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</si>
  <si>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</si>
  <si>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</si>
  <si>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</si>
  <si>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</si>
  <si>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</si>
  <si>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</si>
  <si>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</si>
  <si>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</si>
  <si>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</si>
  <si>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</si>
  <si>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</si>
  <si>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</si>
  <si>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</si>
  <si>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</si>
  <si>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</si>
  <si>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</si>
  <si>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</si>
  <si>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</si>
  <si>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</si>
  <si>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</si>
  <si>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</si>
  <si>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</si>
  <si>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</si>
  <si>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</si>
  <si>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</si>
  <si>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</si>
  <si>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</si>
  <si>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</si>
  <si>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</si>
  <si>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</si>
  <si>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</si>
  <si>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</si>
  <si>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</si>
  <si>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</si>
  <si>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</si>
  <si>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</si>
  <si>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</si>
  <si>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</si>
  <si>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</si>
  <si>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</si>
  <si>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</si>
  <si>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</si>
  <si>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</si>
  <si>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</si>
  <si>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</si>
  <si>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</si>
  <si>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</si>
  <si>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</si>
  <si>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</si>
  <si>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</si>
  <si>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</si>
  <si>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</si>
  <si>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</si>
  <si>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</si>
  <si>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</si>
  <si>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</si>
  <si>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</si>
  <si>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</si>
  <si>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</si>
  <si>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</si>
  <si>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</si>
  <si>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</si>
  <si>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</si>
  <si>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</si>
  <si>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</si>
  <si>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</si>
  <si>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</si>
  <si>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</si>
  <si>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</si>
  <si>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</si>
  <si>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</si>
  <si>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</si>
  <si>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</si>
  <si>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</si>
  <si>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</si>
  <si>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</si>
  <si>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</si>
  <si>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</si>
  <si>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</si>
  <si>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</si>
  <si>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</si>
  <si>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</si>
  <si>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</si>
  <si>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</si>
  <si>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</si>
  <si>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</si>
  <si>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</si>
  <si>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</si>
  <si>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</si>
  <si>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</si>
  <si>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</si>
  <si>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</si>
  <si>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</si>
  <si>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</si>
  <si>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</si>
  <si>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</si>
  <si>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</si>
  <si>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</si>
  <si>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</si>
  <si>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</si>
  <si>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</si>
  <si>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</si>
  <si>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</si>
  <si>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</si>
  <si>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</si>
  <si>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</si>
  <si>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</si>
  <si>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</si>
  <si>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</si>
  <si>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</si>
  <si>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</si>
  <si>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</si>
  <si>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</si>
  <si>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</si>
  <si>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</si>
  <si>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</si>
  <si>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</si>
  <si>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</si>
  <si>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</si>
  <si>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</si>
  <si>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</si>
  <si>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</si>
  <si>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</si>
  <si>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</si>
  <si>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</si>
  <si>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</si>
  <si>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</si>
  <si>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</si>
  <si>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</si>
  <si>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</si>
  <si>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</si>
  <si>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</si>
  <si>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</si>
  <si>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</si>
  <si>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</si>
  <si>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</si>
  <si>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</si>
  <si>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</si>
  <si>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</si>
  <si>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</si>
  <si>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</si>
  <si>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</si>
  <si>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</si>
  <si>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</si>
  <si>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</si>
  <si>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</si>
  <si>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</si>
  <si>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</si>
  <si>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</si>
  <si>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</si>
  <si>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</si>
  <si>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</si>
  <si>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</si>
  <si>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</si>
  <si>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</si>
  <si>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</si>
  <si>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</si>
  <si>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</si>
  <si>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</si>
  <si>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</si>
  <si>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</si>
  <si>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</si>
  <si>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</si>
  <si>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</si>
  <si>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</si>
  <si>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</si>
  <si>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</si>
  <si>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</si>
  <si>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</si>
  <si>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</si>
  <si>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</si>
  <si>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</si>
  <si>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</si>
  <si>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</si>
  <si>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</si>
  <si>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</si>
  <si>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</si>
  <si>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</si>
  <si>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</si>
  <si>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</si>
  <si>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</si>
  <si>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</si>
  <si>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</si>
  <si>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</si>
  <si>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</si>
  <si>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</si>
  <si>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</si>
  <si>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</si>
  <si>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</si>
  <si>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</si>
  <si>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</si>
  <si>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</si>
  <si>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</si>
  <si>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</si>
  <si>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</si>
  <si>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</si>
  <si>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</si>
  <si>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</si>
  <si>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</si>
  <si>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</si>
  <si>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</si>
  <si>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</si>
  <si>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</si>
  <si>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</si>
  <si>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</si>
  <si>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</si>
  <si>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</si>
  <si>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</si>
  <si>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</si>
  <si>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</si>
  <si>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</si>
  <si>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</si>
  <si>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</si>
  <si>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</si>
  <si>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</si>
  <si>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</si>
  <si>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</si>
  <si>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</si>
  <si>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</si>
  <si>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</si>
  <si>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</si>
  <si>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</si>
  <si>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</si>
  <si>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</si>
  <si>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</si>
  <si>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</si>
  <si>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</si>
  <si>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Slot 1</t>
  </si>
  <si>
    <t>Slot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</si>
  <si>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</si>
  <si>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</si>
  <si>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</si>
  <si>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</si>
  <si>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</si>
  <si>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</si>
  <si>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1º E</t>
  </si>
  <si>
    <t>3º A/B/C/D/F</t>
  </si>
  <si>
    <t>1º F</t>
  </si>
  <si>
    <t>2º C</t>
  </si>
  <si>
    <t>2º E</t>
  </si>
  <si>
    <t>2º I</t>
  </si>
  <si>
    <t>1º I</t>
  </si>
  <si>
    <t>3º C/D/F/G/H</t>
  </si>
  <si>
    <t>1º A</t>
  </si>
  <si>
    <t>3º C/E/F/H/I</t>
  </si>
  <si>
    <t>1º L</t>
  </si>
  <si>
    <t>3º E/H/I/J/K</t>
  </si>
  <si>
    <t>1º G</t>
  </si>
  <si>
    <t>3º A/E/H/I/J</t>
  </si>
  <si>
    <t>1º D</t>
  </si>
  <si>
    <t>3º B/E/F/I/J</t>
  </si>
  <si>
    <t>1º H</t>
  </si>
  <si>
    <t>2º J</t>
  </si>
  <si>
    <t>2º K</t>
  </si>
  <si>
    <t>2º L</t>
  </si>
  <si>
    <t>1º B</t>
  </si>
  <si>
    <t>3º E/F/G/I/J</t>
  </si>
  <si>
    <t>2º D</t>
  </si>
  <si>
    <t>2º G</t>
  </si>
  <si>
    <t>1º J</t>
  </si>
  <si>
    <t>2º H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</si>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</sst>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sz val="11"/>
      <name val="Calibri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0" borderId="0" xfId="0" applyFont="1"/>
    <xf numFmtId="0" fontId="6" fillId="4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 wrapText="1"/>
    </xf>
    <xf numFmtId="2" fontId="5" fillId="0" borderId="5" xfId="0" applyNumberFormat="1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left" vertical="center" wrapText="1"/>
    </xf>
    <xf numFmtId="2" fontId="5" fillId="5" borderId="5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1" fontId="5" fillId="0" borderId="5" xfId="0" applyNumberFormat="1" applyFont="1" applyBorder="1" applyAlignment="1">
      <alignment horizontal="center" vertical="center"/>
    </xf>
    <xf numFmtId="164" fontId="5" fillId="0" borderId="5" xfId="0" applyNumberFormat="1" applyFont="1" applyBorder="1" applyAlignment="1">
      <alignment horizontal="center" vertical="center"/>
    </xf>
    <xf numFmtId="0" fontId="5" fillId="5" borderId="5" xfId="0" applyFont="1" applyFill="1" applyBorder="1" applyAlignment="1">
      <alignment horizontal="left" vertical="center"/>
    </xf>
    <xf numFmtId="1" fontId="5" fillId="5" borderId="5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0" fontId="9" fillId="0" borderId="0" xfId="0" applyFont="1"/>
    <xf numFmtId="0" fontId="5" fillId="6" borderId="5" xfId="0" applyFont="1" applyFill="1" applyBorder="1" applyAlignment="1">
      <alignment horizontal="left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10" fillId="6" borderId="5" xfId="0" applyFont="1" applyFill="1" applyBorder="1" applyAlignment="1">
      <alignment horizontal="center" vertical="center"/>
    </xf>
    <xf numFmtId="0" fontId="11" fillId="0" borderId="0" xfId="0" applyFont="1"/>
    <xf numFmtId="0" fontId="10" fillId="5" borderId="5" xfId="0" applyFont="1" applyFill="1" applyBorder="1" applyAlignment="1">
      <alignment horizontal="center" vertical="center"/>
    </xf>
    <xf numFmtId="0" fontId="12" fillId="0" borderId="5" xfId="0" applyFont="1" applyBorder="1" applyAlignment="1">
      <alignment horizontal="left" vertical="center" wrapText="1"/>
    </xf>
    <xf numFmtId="0" fontId="12" fillId="5" borderId="5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3" fillId="0" borderId="4" xfId="0" applyFont="1" applyBorder="1"/>
    <xf numFmtId="0" fontId="3" fillId="0" borderId="3" xfId="0" applyFont="1" applyBorder="1"/>
    <xf numFmtId="0" fontId="7" fillId="0" borderId="0" xfId="0" applyFont="1"/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7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2" t="s">
        <v>0</v>
      </c>
      <c r="C1" s="34"/>
    </row>
    <row r="2" spans="1:3" ht="43.5" customHeight="1" x14ac:dyDescent="0.25">
      <c r="B2" s="2" t="s">
        <v>1</v>
      </c>
      <c r="C2" s="3" t="s">
        <v>2</v>
      </c>
    </row>
    <row r="3" spans="1:3" ht="30" customHeight="1" x14ac:dyDescent="0.25">
      <c r="B3" s="2" t="s">
        <v>3</v>
      </c>
      <c r="C3" s="3" t="s">
        <v>4</v>
      </c>
    </row>
    <row r="4" spans="1:3" ht="15.75" customHeight="1" x14ac:dyDescent="0.25">
      <c r="B4" s="4" t="s">
        <v>5</v>
      </c>
      <c r="C4" s="5"/>
    </row>
    <row r="5" spans="1:3" ht="30" customHeight="1" x14ac:dyDescent="0.25">
      <c r="B5" s="2" t="s">
        <v>6</v>
      </c>
      <c r="C5" s="3" t="s">
        <v>7</v>
      </c>
    </row>
    <row r="6" spans="1:3" ht="30" customHeight="1" x14ac:dyDescent="0.25">
      <c r="B6" s="2" t="s">
        <v>8</v>
      </c>
      <c r="C6" s="3" t="s">
        <v>9</v>
      </c>
    </row>
    <row r="7" spans="1:3" ht="30" customHeight="1" x14ac:dyDescent="0.25">
      <c r="B7" s="2" t="s">
        <v>10</v>
      </c>
      <c r="C7" s="3" t="s">
        <v>11</v>
      </c>
    </row>
    <row r="8" spans="1:3" ht="15.75" customHeight="1" x14ac:dyDescent="0.25">
      <c r="B8" s="2" t="s">
        <v>12</v>
      </c>
      <c r="C8" s="3" t="s">
        <v>13</v>
      </c>
    </row>
    <row r="9" spans="1:3" ht="30" customHeight="1" x14ac:dyDescent="0.25">
      <c r="B9" s="2" t="s">
        <v>14</v>
      </c>
      <c r="C9" s="3" t="s">
        <v>15</v>
      </c>
    </row>
    <row r="10" spans="1:3" ht="15.75" customHeight="1" x14ac:dyDescent="0.25">
      <c r="B10" s="2" t="s">
        <v>16</v>
      </c>
      <c r="C10" s="3" t="s">
        <v>17</v>
      </c>
    </row>
    <row r="11" spans="1:3" ht="15.75" customHeight="1" x14ac:dyDescent="0.25">
      <c r="B11" s="4" t="s">
        <v>18</v>
      </c>
      <c r="C11" s="5"/>
    </row>
    <row r="12" spans="1:3" ht="15.75" customHeight="1" x14ac:dyDescent="0.25">
      <c r="B12" s="2" t="s">
        <v>19</v>
      </c>
      <c r="C12" s="3" t="s">
        <v>20</v>
      </c>
    </row>
    <row r="13" spans="1:3" ht="15.75" customHeight="1" x14ac:dyDescent="0.25">
      <c r="B13" s="2" t="s">
        <v>21</v>
      </c>
      <c r="C13" s="3" t="s">
        <v>22</v>
      </c>
    </row>
    <row r="14" spans="1:3" ht="15.75" customHeight="1" x14ac:dyDescent="0.25">
      <c r="B14" s="2" t="s">
        <v>23</v>
      </c>
      <c r="C14" s="3" t="s">
        <v>24</v>
      </c>
    </row>
    <row r="15" spans="1:3" ht="15.75" customHeight="1" x14ac:dyDescent="0.25">
      <c r="B15" s="2" t="s">
        <v>25</v>
      </c>
      <c r="C15" s="3" t="s">
        <v>26</v>
      </c>
    </row>
    <row r="16" spans="1:3" ht="30" customHeight="1" x14ac:dyDescent="0.25">
      <c r="B16" s="2" t="s">
        <v>27</v>
      </c>
      <c r="C16" s="3" t="s">
        <v>28</v>
      </c>
    </row>
    <row r="17" spans="2:3" ht="15.75" customHeight="1" x14ac:dyDescent="0.25">
      <c r="B17" s="4" t="s">
        <v>29</v>
      </c>
      <c r="C17" s="5"/>
    </row>
    <row r="18" spans="2:3" ht="15.75" customHeight="1" x14ac:dyDescent="0.25">
      <c r="B18" s="2" t="s">
        <v>30</v>
      </c>
      <c r="C18" s="3" t="s">
        <v>31</v>
      </c>
    </row>
    <row r="19" spans="2:3" ht="30" customHeight="1" x14ac:dyDescent="0.25">
      <c r="B19" s="2" t="s">
        <v>32</v>
      </c>
      <c r="C19" s="3" t="s">
        <v>33</v>
      </c>
    </row>
    <row r="20" spans="2:3" ht="30" customHeight="1" x14ac:dyDescent="0.25">
      <c r="B20" s="2" t="s">
        <v>34</v>
      </c>
      <c r="C20" s="3" t="s">
        <v>35</v>
      </c>
    </row>
    <row r="21" spans="2:3" ht="15.75" customHeight="1" x14ac:dyDescent="0.25">
      <c r="B21" s="2" t="s">
        <v>8</v>
      </c>
      <c r="C21" s="3" t="s">
        <v>36</v>
      </c>
    </row>
    <row r="22" spans="2:3" ht="15.75" customHeight="1" x14ac:dyDescent="0.25">
      <c r="B22" s="2" t="s">
        <v>37</v>
      </c>
      <c r="C22" s="3" t="s">
        <v>38</v>
      </c>
    </row>
    <row r="23" spans="2:3" ht="30" customHeight="1" x14ac:dyDescent="0.25">
      <c r="B23" s="2" t="s">
        <v>39</v>
      </c>
      <c r="C23" s="3" t="s">
        <v>40</v>
      </c>
    </row>
    <row r="24" spans="2:3" ht="30" customHeight="1" x14ac:dyDescent="0.25">
      <c r="B24" s="6" t="s">
        <v>41</v>
      </c>
      <c r="C24" s="3" t="s">
        <v>42</v>
      </c>
    </row>
    <row r="25" spans="2:3" ht="30" customHeight="1" x14ac:dyDescent="0.25">
      <c r="B25" s="6" t="s">
        <v>43</v>
      </c>
      <c r="C25" s="3" t="s">
        <v>44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2" t="s">
        <v>45</v>
      </c>
      <c r="B1" s="33"/>
      <c r="C1" s="33"/>
      <c r="D1" s="33"/>
      <c r="E1" s="33"/>
      <c r="F1" s="33"/>
      <c r="G1" s="33"/>
      <c r="H1" s="33"/>
      <c r="I1" s="33"/>
      <c r="J1" s="33"/>
      <c r="K1" s="34"/>
    </row>
    <row r="2" spans="1:11" ht="23.25" customHeight="1" x14ac:dyDescent="0.25">
      <c r="A2" s="7" t="s">
        <v>46</v>
      </c>
      <c r="B2" s="7" t="s">
        <v>47</v>
      </c>
      <c r="C2" s="7" t="s">
        <v>48</v>
      </c>
      <c r="D2" s="7" t="s">
        <v>49</v>
      </c>
      <c r="E2" s="7" t="s">
        <v>50</v>
      </c>
      <c r="F2" s="7" t="s">
        <v>51</v>
      </c>
      <c r="G2" s="7" t="s">
        <v>52</v>
      </c>
      <c r="H2" s="7" t="s">
        <v>53</v>
      </c>
      <c r="I2" s="7" t="s">
        <v>54</v>
      </c>
      <c r="J2" s="7" t="s">
        <v>55</v>
      </c>
      <c r="K2" s="7" t="s">
        <v>56</v>
      </c>
    </row>
    <row r="3" spans="1:11" ht="15" customHeight="1" x14ac:dyDescent="0.25">
      <c r="A3" s="8">
        <v>1</v>
      </c>
      <c r="B3" s="9" t="s">
        <v>57</v>
      </c>
      <c r="C3" s="8" t="s">
        <v>58</v>
      </c>
      <c r="D3" s="8" t="s">
        <v>59</v>
      </c>
      <c r="E3" s="8">
        <v>1</v>
      </c>
      <c r="F3" s="8" t="s">
        <v>60</v>
      </c>
      <c r="G3" s="8">
        <v>15</v>
      </c>
      <c r="H3" s="10">
        <v>1675.74</v>
      </c>
      <c r="I3" s="8" t="s">
        <v>61</v>
      </c>
      <c r="J3" s="8" t="s">
        <v>62</v>
      </c>
      <c r="K3" s="8">
        <v>0</v>
      </c>
    </row>
    <row r="4" spans="1:11" ht="15" customHeight="1" x14ac:dyDescent="0.25">
      <c r="A4" s="11">
        <v>2</v>
      </c>
      <c r="B4" s="12" t="s">
        <v>63</v>
      </c>
      <c r="C4" s="11" t="s">
        <v>64</v>
      </c>
      <c r="D4" s="11" t="s">
        <v>59</v>
      </c>
      <c r="E4" s="11">
        <v>2</v>
      </c>
      <c r="F4" s="11" t="s">
        <v>65</v>
      </c>
      <c r="G4" s="11">
        <v>61</v>
      </c>
      <c r="H4" s="13">
        <v>1427.3</v>
      </c>
      <c r="I4" s="11" t="s">
        <v>62</v>
      </c>
      <c r="J4" s="11" t="s">
        <v>62</v>
      </c>
      <c r="K4" s="11">
        <v>0</v>
      </c>
    </row>
    <row r="5" spans="1:11" ht="15" customHeight="1" x14ac:dyDescent="0.25">
      <c r="A5" s="8">
        <v>3</v>
      </c>
      <c r="B5" s="9" t="s">
        <v>66</v>
      </c>
      <c r="C5" s="8" t="s">
        <v>67</v>
      </c>
      <c r="D5" s="8" t="s">
        <v>59</v>
      </c>
      <c r="E5" s="8">
        <v>3</v>
      </c>
      <c r="F5" s="8" t="s">
        <v>68</v>
      </c>
      <c r="G5" s="8">
        <v>22</v>
      </c>
      <c r="H5" s="10">
        <v>1599.45</v>
      </c>
      <c r="I5" s="8" t="s">
        <v>62</v>
      </c>
      <c r="J5" s="8" t="s">
        <v>62</v>
      </c>
      <c r="K5" s="8">
        <v>0</v>
      </c>
    </row>
    <row r="6" spans="1:11" ht="15" customHeight="1" x14ac:dyDescent="0.25">
      <c r="A6" s="11">
        <v>4</v>
      </c>
      <c r="B6" s="12" t="s">
        <v>69</v>
      </c>
      <c r="C6" s="11" t="s">
        <v>70</v>
      </c>
      <c r="D6" s="11" t="s">
        <v>59</v>
      </c>
      <c r="E6" s="11">
        <v>4</v>
      </c>
      <c r="F6" s="11" t="s">
        <v>71</v>
      </c>
      <c r="G6" s="11">
        <v>44</v>
      </c>
      <c r="H6" s="13">
        <v>1487</v>
      </c>
      <c r="I6" s="11" t="s">
        <v>62</v>
      </c>
      <c r="J6" s="11" t="s">
        <v>62</v>
      </c>
      <c r="K6" s="11">
        <v>0</v>
      </c>
    </row>
    <row r="7" spans="1:11" ht="15" customHeight="1" x14ac:dyDescent="0.25">
      <c r="A7" s="8">
        <v>5</v>
      </c>
      <c r="B7" s="9" t="s">
        <v>72</v>
      </c>
      <c r="C7" s="8" t="s">
        <v>73</v>
      </c>
      <c r="D7" s="8" t="s">
        <v>74</v>
      </c>
      <c r="E7" s="8">
        <v>1</v>
      </c>
      <c r="F7" s="8" t="s">
        <v>60</v>
      </c>
      <c r="G7" s="8">
        <v>27</v>
      </c>
      <c r="H7" s="10">
        <v>1559.16</v>
      </c>
      <c r="I7" s="8" t="s">
        <v>61</v>
      </c>
      <c r="J7" s="8" t="s">
        <v>62</v>
      </c>
      <c r="K7" s="8">
        <v>0</v>
      </c>
    </row>
    <row r="8" spans="1:11" ht="15" customHeight="1" x14ac:dyDescent="0.25">
      <c r="A8" s="11">
        <v>6</v>
      </c>
      <c r="B8" s="12" t="s">
        <v>75</v>
      </c>
      <c r="C8" s="11" t="s">
        <v>76</v>
      </c>
      <c r="D8" s="11" t="s">
        <v>74</v>
      </c>
      <c r="E8" s="11">
        <v>2</v>
      </c>
      <c r="F8" s="11" t="s">
        <v>71</v>
      </c>
      <c r="G8" s="11">
        <v>71</v>
      </c>
      <c r="H8" s="13">
        <v>1393.9</v>
      </c>
      <c r="I8" s="11" t="s">
        <v>62</v>
      </c>
      <c r="J8" s="11" t="s">
        <v>62</v>
      </c>
      <c r="K8" s="11">
        <v>0</v>
      </c>
    </row>
    <row r="9" spans="1:11" ht="15" customHeight="1" x14ac:dyDescent="0.25">
      <c r="A9" s="8">
        <v>7</v>
      </c>
      <c r="B9" s="9" t="s">
        <v>77</v>
      </c>
      <c r="C9" s="8" t="s">
        <v>78</v>
      </c>
      <c r="D9" s="8" t="s">
        <v>74</v>
      </c>
      <c r="E9" s="8">
        <v>3</v>
      </c>
      <c r="F9" s="8" t="s">
        <v>68</v>
      </c>
      <c r="G9" s="8">
        <v>51</v>
      </c>
      <c r="H9" s="10">
        <v>1461.6</v>
      </c>
      <c r="I9" s="8" t="s">
        <v>62</v>
      </c>
      <c r="J9" s="8" t="s">
        <v>62</v>
      </c>
      <c r="K9" s="8">
        <v>0</v>
      </c>
    </row>
    <row r="10" spans="1:11" ht="15" customHeight="1" x14ac:dyDescent="0.25">
      <c r="A10" s="11">
        <v>8</v>
      </c>
      <c r="B10" s="12" t="s">
        <v>79</v>
      </c>
      <c r="C10" s="11" t="s">
        <v>80</v>
      </c>
      <c r="D10" s="11" t="s">
        <v>74</v>
      </c>
      <c r="E10" s="11">
        <v>4</v>
      </c>
      <c r="F10" s="11" t="s">
        <v>71</v>
      </c>
      <c r="G10" s="11">
        <v>17</v>
      </c>
      <c r="H10" s="13">
        <v>1654.69</v>
      </c>
      <c r="I10" s="11" t="s">
        <v>62</v>
      </c>
      <c r="J10" s="11" t="s">
        <v>62</v>
      </c>
      <c r="K10" s="11">
        <v>0</v>
      </c>
    </row>
    <row r="11" spans="1:11" ht="15" customHeight="1" x14ac:dyDescent="0.25">
      <c r="A11" s="8">
        <v>9</v>
      </c>
      <c r="B11" s="9" t="s">
        <v>81</v>
      </c>
      <c r="C11" s="8" t="s">
        <v>82</v>
      </c>
      <c r="D11" s="8" t="s">
        <v>83</v>
      </c>
      <c r="E11" s="8">
        <v>1</v>
      </c>
      <c r="F11" s="8" t="s">
        <v>84</v>
      </c>
      <c r="G11" s="8">
        <v>5</v>
      </c>
      <c r="H11" s="10">
        <v>1760.46</v>
      </c>
      <c r="I11" s="8" t="s">
        <v>62</v>
      </c>
      <c r="J11" s="8" t="s">
        <v>62</v>
      </c>
      <c r="K11" s="8">
        <v>5</v>
      </c>
    </row>
    <row r="12" spans="1:11" ht="15" customHeight="1" x14ac:dyDescent="0.25">
      <c r="A12" s="11">
        <v>10</v>
      </c>
      <c r="B12" s="12" t="s">
        <v>85</v>
      </c>
      <c r="C12" s="11" t="s">
        <v>86</v>
      </c>
      <c r="D12" s="11" t="s">
        <v>83</v>
      </c>
      <c r="E12" s="11">
        <v>2</v>
      </c>
      <c r="F12" s="11" t="s">
        <v>65</v>
      </c>
      <c r="G12" s="11">
        <v>11</v>
      </c>
      <c r="H12" s="13">
        <v>1713.12</v>
      </c>
      <c r="I12" s="11" t="s">
        <v>62</v>
      </c>
      <c r="J12" s="11" t="s">
        <v>62</v>
      </c>
      <c r="K12" s="11">
        <v>0</v>
      </c>
    </row>
    <row r="13" spans="1:11" ht="15" customHeight="1" x14ac:dyDescent="0.25">
      <c r="A13" s="8">
        <v>11</v>
      </c>
      <c r="B13" s="9" t="s">
        <v>87</v>
      </c>
      <c r="C13" s="8" t="s">
        <v>88</v>
      </c>
      <c r="D13" s="8" t="s">
        <v>83</v>
      </c>
      <c r="E13" s="8">
        <v>3</v>
      </c>
      <c r="F13" s="8" t="s">
        <v>60</v>
      </c>
      <c r="G13" s="8">
        <v>84</v>
      </c>
      <c r="H13" s="14">
        <v>1350.5</v>
      </c>
      <c r="I13" s="8" t="s">
        <v>62</v>
      </c>
      <c r="J13" s="8" t="s">
        <v>62</v>
      </c>
      <c r="K13" s="8">
        <v>0</v>
      </c>
    </row>
    <row r="14" spans="1:11" ht="15" customHeight="1" x14ac:dyDescent="0.25">
      <c r="A14" s="11">
        <v>12</v>
      </c>
      <c r="B14" s="12" t="s">
        <v>89</v>
      </c>
      <c r="C14" s="11" t="s">
        <v>90</v>
      </c>
      <c r="D14" s="11" t="s">
        <v>83</v>
      </c>
      <c r="E14" s="11">
        <v>4</v>
      </c>
      <c r="F14" s="11" t="s">
        <v>71</v>
      </c>
      <c r="G14" s="11">
        <v>36</v>
      </c>
      <c r="H14" s="13">
        <v>1506.77</v>
      </c>
      <c r="I14" s="11" t="s">
        <v>62</v>
      </c>
      <c r="J14" s="11" t="s">
        <v>62</v>
      </c>
      <c r="K14" s="11">
        <v>0</v>
      </c>
    </row>
    <row r="15" spans="1:11" ht="15" customHeight="1" x14ac:dyDescent="0.25">
      <c r="A15" s="8">
        <v>13</v>
      </c>
      <c r="B15" s="9" t="s">
        <v>91</v>
      </c>
      <c r="C15" s="8" t="s">
        <v>92</v>
      </c>
      <c r="D15" s="8" t="s">
        <v>93</v>
      </c>
      <c r="E15" s="8">
        <v>1</v>
      </c>
      <c r="F15" s="8" t="s">
        <v>60</v>
      </c>
      <c r="G15" s="8">
        <v>14</v>
      </c>
      <c r="H15" s="10">
        <v>1681.88</v>
      </c>
      <c r="I15" s="8" t="s">
        <v>61</v>
      </c>
      <c r="J15" s="8" t="s">
        <v>62</v>
      </c>
      <c r="K15" s="8">
        <v>0</v>
      </c>
    </row>
    <row r="16" spans="1:11" ht="15" customHeight="1" x14ac:dyDescent="0.25">
      <c r="A16" s="11">
        <v>14</v>
      </c>
      <c r="B16" s="12" t="s">
        <v>94</v>
      </c>
      <c r="C16" s="11" t="s">
        <v>95</v>
      </c>
      <c r="D16" s="11" t="s">
        <v>93</v>
      </c>
      <c r="E16" s="11">
        <v>2</v>
      </c>
      <c r="F16" s="11" t="s">
        <v>84</v>
      </c>
      <c r="G16" s="11">
        <v>39</v>
      </c>
      <c r="H16" s="13">
        <v>1501.5</v>
      </c>
      <c r="I16" s="11" t="s">
        <v>62</v>
      </c>
      <c r="J16" s="11" t="s">
        <v>62</v>
      </c>
      <c r="K16" s="11">
        <v>0</v>
      </c>
    </row>
    <row r="17" spans="1:11" ht="15" customHeight="1" x14ac:dyDescent="0.25">
      <c r="A17" s="8">
        <v>15</v>
      </c>
      <c r="B17" s="9" t="s">
        <v>96</v>
      </c>
      <c r="C17" s="8" t="s">
        <v>97</v>
      </c>
      <c r="D17" s="8" t="s">
        <v>93</v>
      </c>
      <c r="E17" s="8">
        <v>3</v>
      </c>
      <c r="F17" s="8" t="s">
        <v>68</v>
      </c>
      <c r="G17" s="8">
        <v>26</v>
      </c>
      <c r="H17" s="10">
        <v>1574.01</v>
      </c>
      <c r="I17" s="8" t="s">
        <v>62</v>
      </c>
      <c r="J17" s="8" t="s">
        <v>62</v>
      </c>
      <c r="K17" s="8">
        <v>0</v>
      </c>
    </row>
    <row r="18" spans="1:11" ht="15" customHeight="1" x14ac:dyDescent="0.25">
      <c r="A18" s="11">
        <v>16</v>
      </c>
      <c r="B18" s="12" t="s">
        <v>98</v>
      </c>
      <c r="C18" s="11" t="s">
        <v>99</v>
      </c>
      <c r="D18" s="11" t="s">
        <v>93</v>
      </c>
      <c r="E18" s="11">
        <v>4</v>
      </c>
      <c r="F18" s="11" t="s">
        <v>71</v>
      </c>
      <c r="G18" s="11">
        <v>25</v>
      </c>
      <c r="H18" s="13">
        <v>1582.69</v>
      </c>
      <c r="I18" s="11" t="s">
        <v>62</v>
      </c>
      <c r="J18" s="11" t="s">
        <v>62</v>
      </c>
      <c r="K18" s="11">
        <v>0</v>
      </c>
    </row>
    <row r="19" spans="1:11" ht="15" customHeight="1" x14ac:dyDescent="0.25">
      <c r="A19" s="8">
        <v>17</v>
      </c>
      <c r="B19" s="9" t="s">
        <v>100</v>
      </c>
      <c r="C19" s="8" t="s">
        <v>101</v>
      </c>
      <c r="D19" s="8" t="s">
        <v>102</v>
      </c>
      <c r="E19" s="8">
        <v>1</v>
      </c>
      <c r="F19" s="8" t="s">
        <v>71</v>
      </c>
      <c r="G19" s="8">
        <v>9</v>
      </c>
      <c r="H19" s="10">
        <v>1724.14</v>
      </c>
      <c r="I19" s="8" t="s">
        <v>62</v>
      </c>
      <c r="J19" s="8" t="s">
        <v>62</v>
      </c>
      <c r="K19" s="8">
        <v>4</v>
      </c>
    </row>
    <row r="20" spans="1:11" ht="15" customHeight="1" x14ac:dyDescent="0.25">
      <c r="A20" s="11">
        <v>18</v>
      </c>
      <c r="B20" s="12" t="s">
        <v>103</v>
      </c>
      <c r="C20" s="11" t="s">
        <v>104</v>
      </c>
      <c r="D20" s="11" t="s">
        <v>102</v>
      </c>
      <c r="E20" s="11">
        <v>2</v>
      </c>
      <c r="F20" s="11" t="s">
        <v>60</v>
      </c>
      <c r="G20" s="11">
        <v>82</v>
      </c>
      <c r="H20" s="13">
        <v>1357.1</v>
      </c>
      <c r="I20" s="11" t="s">
        <v>62</v>
      </c>
      <c r="J20" s="11" t="s">
        <v>61</v>
      </c>
      <c r="K20" s="11">
        <v>0</v>
      </c>
    </row>
    <row r="21" spans="1:11" ht="15" customHeight="1" x14ac:dyDescent="0.25">
      <c r="A21" s="8">
        <v>19</v>
      </c>
      <c r="B21" s="9" t="s">
        <v>105</v>
      </c>
      <c r="C21" s="8" t="s">
        <v>106</v>
      </c>
      <c r="D21" s="8" t="s">
        <v>102</v>
      </c>
      <c r="E21" s="8">
        <v>3</v>
      </c>
      <c r="F21" s="8" t="s">
        <v>65</v>
      </c>
      <c r="G21" s="8">
        <v>42</v>
      </c>
      <c r="H21" s="10">
        <v>1489.59</v>
      </c>
      <c r="I21" s="8" t="s">
        <v>62</v>
      </c>
      <c r="J21" s="8" t="s">
        <v>62</v>
      </c>
      <c r="K21" s="8">
        <v>0</v>
      </c>
    </row>
    <row r="22" spans="1:11" ht="15" customHeight="1" x14ac:dyDescent="0.25">
      <c r="A22" s="11">
        <v>20</v>
      </c>
      <c r="B22" s="12" t="s">
        <v>107</v>
      </c>
      <c r="C22" s="11" t="s">
        <v>108</v>
      </c>
      <c r="D22" s="11" t="s">
        <v>102</v>
      </c>
      <c r="E22" s="11">
        <v>4</v>
      </c>
      <c r="F22" s="11" t="s">
        <v>84</v>
      </c>
      <c r="G22" s="11">
        <v>23</v>
      </c>
      <c r="H22" s="13">
        <v>1591.73</v>
      </c>
      <c r="I22" s="11" t="s">
        <v>62</v>
      </c>
      <c r="J22" s="11" t="s">
        <v>62</v>
      </c>
      <c r="K22" s="11">
        <v>0</v>
      </c>
    </row>
    <row r="23" spans="1:11" ht="15" customHeight="1" x14ac:dyDescent="0.25">
      <c r="A23" s="8">
        <v>21</v>
      </c>
      <c r="B23" s="9" t="s">
        <v>109</v>
      </c>
      <c r="C23" s="8" t="s">
        <v>110</v>
      </c>
      <c r="D23" s="8" t="s">
        <v>111</v>
      </c>
      <c r="E23" s="8">
        <v>1</v>
      </c>
      <c r="F23" s="8" t="s">
        <v>71</v>
      </c>
      <c r="G23" s="8">
        <v>7</v>
      </c>
      <c r="H23" s="10">
        <v>1756.26</v>
      </c>
      <c r="I23" s="8" t="s">
        <v>62</v>
      </c>
      <c r="J23" s="8" t="s">
        <v>62</v>
      </c>
      <c r="K23" s="8">
        <v>0</v>
      </c>
    </row>
    <row r="24" spans="1:11" ht="15" customHeight="1" x14ac:dyDescent="0.25">
      <c r="A24" s="11">
        <v>22</v>
      </c>
      <c r="B24" s="12" t="s">
        <v>112</v>
      </c>
      <c r="C24" s="11" t="s">
        <v>113</v>
      </c>
      <c r="D24" s="11" t="s">
        <v>111</v>
      </c>
      <c r="E24" s="11">
        <v>2</v>
      </c>
      <c r="F24" s="11" t="s">
        <v>68</v>
      </c>
      <c r="G24" s="11">
        <v>18</v>
      </c>
      <c r="H24" s="13">
        <v>1650.11</v>
      </c>
      <c r="I24" s="11" t="s">
        <v>62</v>
      </c>
      <c r="J24" s="11" t="s">
        <v>62</v>
      </c>
      <c r="K24" s="11">
        <v>0</v>
      </c>
    </row>
    <row r="25" spans="1:11" ht="15" customHeight="1" x14ac:dyDescent="0.25">
      <c r="A25" s="8">
        <v>23</v>
      </c>
      <c r="B25" s="9" t="s">
        <v>114</v>
      </c>
      <c r="C25" s="8" t="s">
        <v>115</v>
      </c>
      <c r="D25" s="8" t="s">
        <v>111</v>
      </c>
      <c r="E25" s="8">
        <v>3</v>
      </c>
      <c r="F25" s="8" t="s">
        <v>71</v>
      </c>
      <c r="G25" s="8">
        <v>43</v>
      </c>
      <c r="H25" s="10">
        <v>1487.13</v>
      </c>
      <c r="I25" s="8" t="s">
        <v>62</v>
      </c>
      <c r="J25" s="8" t="s">
        <v>62</v>
      </c>
      <c r="K25" s="8">
        <v>0</v>
      </c>
    </row>
    <row r="26" spans="1:11" ht="15" customHeight="1" x14ac:dyDescent="0.25">
      <c r="A26" s="11">
        <v>24</v>
      </c>
      <c r="B26" s="12" t="s">
        <v>116</v>
      </c>
      <c r="C26" s="11" t="s">
        <v>117</v>
      </c>
      <c r="D26" s="11" t="s">
        <v>111</v>
      </c>
      <c r="E26" s="11">
        <v>4</v>
      </c>
      <c r="F26" s="11" t="s">
        <v>65</v>
      </c>
      <c r="G26" s="11">
        <v>40</v>
      </c>
      <c r="H26" s="13">
        <v>1497.13</v>
      </c>
      <c r="I26" s="11" t="s">
        <v>62</v>
      </c>
      <c r="J26" s="11" t="s">
        <v>62</v>
      </c>
      <c r="K26" s="11">
        <v>0</v>
      </c>
    </row>
    <row r="27" spans="1:11" ht="15" customHeight="1" x14ac:dyDescent="0.25">
      <c r="A27" s="8">
        <v>25</v>
      </c>
      <c r="B27" s="9" t="s">
        <v>118</v>
      </c>
      <c r="C27" s="8" t="s">
        <v>119</v>
      </c>
      <c r="D27" s="8" t="s">
        <v>120</v>
      </c>
      <c r="E27" s="8">
        <v>1</v>
      </c>
      <c r="F27" s="8" t="s">
        <v>71</v>
      </c>
      <c r="G27" s="8">
        <v>8</v>
      </c>
      <c r="H27" s="10">
        <v>1730.71</v>
      </c>
      <c r="I27" s="8" t="s">
        <v>62</v>
      </c>
      <c r="J27" s="8" t="s">
        <v>62</v>
      </c>
      <c r="K27" s="8">
        <v>0</v>
      </c>
    </row>
    <row r="28" spans="1:11" ht="15" customHeight="1" x14ac:dyDescent="0.25">
      <c r="A28" s="11">
        <v>26</v>
      </c>
      <c r="B28" s="12" t="s">
        <v>121</v>
      </c>
      <c r="C28" s="11" t="s">
        <v>122</v>
      </c>
      <c r="D28" s="11" t="s">
        <v>120</v>
      </c>
      <c r="E28" s="11">
        <v>2</v>
      </c>
      <c r="F28" s="11" t="s">
        <v>65</v>
      </c>
      <c r="G28" s="11">
        <v>34</v>
      </c>
      <c r="H28" s="13">
        <v>1520.68</v>
      </c>
      <c r="I28" s="11" t="s">
        <v>62</v>
      </c>
      <c r="J28" s="11" t="s">
        <v>62</v>
      </c>
      <c r="K28" s="11">
        <v>0</v>
      </c>
    </row>
    <row r="29" spans="1:11" ht="15" customHeight="1" x14ac:dyDescent="0.25">
      <c r="A29" s="8">
        <v>27</v>
      </c>
      <c r="B29" s="9" t="s">
        <v>123</v>
      </c>
      <c r="C29" s="8" t="s">
        <v>124</v>
      </c>
      <c r="D29" s="8" t="s">
        <v>120</v>
      </c>
      <c r="E29" s="8">
        <v>3</v>
      </c>
      <c r="F29" s="8" t="s">
        <v>68</v>
      </c>
      <c r="G29" s="8">
        <v>20</v>
      </c>
      <c r="H29" s="10">
        <v>1617.03</v>
      </c>
      <c r="I29" s="8" t="s">
        <v>62</v>
      </c>
      <c r="J29" s="8" t="s">
        <v>62</v>
      </c>
      <c r="K29" s="8">
        <v>0</v>
      </c>
    </row>
    <row r="30" spans="1:11" ht="15" customHeight="1" x14ac:dyDescent="0.25">
      <c r="A30" s="11">
        <v>28</v>
      </c>
      <c r="B30" s="12" t="s">
        <v>125</v>
      </c>
      <c r="C30" s="11" t="s">
        <v>126</v>
      </c>
      <c r="D30" s="11" t="s">
        <v>120</v>
      </c>
      <c r="E30" s="11">
        <v>4</v>
      </c>
      <c r="F30" s="11" t="s">
        <v>127</v>
      </c>
      <c r="G30" s="11">
        <v>86</v>
      </c>
      <c r="H30" s="13">
        <v>1343.8</v>
      </c>
      <c r="I30" s="11" t="s">
        <v>62</v>
      </c>
      <c r="J30" s="11" t="s">
        <v>62</v>
      </c>
      <c r="K30" s="11">
        <v>0</v>
      </c>
    </row>
    <row r="31" spans="1:11" ht="15" customHeight="1" x14ac:dyDescent="0.25">
      <c r="A31" s="8">
        <v>29</v>
      </c>
      <c r="B31" s="9" t="s">
        <v>128</v>
      </c>
      <c r="C31" s="8" t="s">
        <v>129</v>
      </c>
      <c r="D31" s="8" t="s">
        <v>130</v>
      </c>
      <c r="E31" s="8">
        <v>1</v>
      </c>
      <c r="F31" s="8" t="s">
        <v>71</v>
      </c>
      <c r="G31" s="8">
        <v>1</v>
      </c>
      <c r="H31" s="10">
        <v>1877.17</v>
      </c>
      <c r="I31" s="8" t="s">
        <v>62</v>
      </c>
      <c r="J31" s="8" t="s">
        <v>62</v>
      </c>
      <c r="K31" s="8">
        <v>1</v>
      </c>
    </row>
    <row r="32" spans="1:11" ht="15" customHeight="1" x14ac:dyDescent="0.25">
      <c r="A32" s="11">
        <v>30</v>
      </c>
      <c r="B32" s="12" t="s">
        <v>131</v>
      </c>
      <c r="C32" s="11" t="s">
        <v>132</v>
      </c>
      <c r="D32" s="11" t="s">
        <v>130</v>
      </c>
      <c r="E32" s="11">
        <v>2</v>
      </c>
      <c r="F32" s="11" t="s">
        <v>65</v>
      </c>
      <c r="G32" s="11">
        <v>68</v>
      </c>
      <c r="H32" s="13">
        <v>1403.9</v>
      </c>
      <c r="I32" s="11" t="s">
        <v>62</v>
      </c>
      <c r="J32" s="11" t="s">
        <v>61</v>
      </c>
      <c r="K32" s="11">
        <v>0</v>
      </c>
    </row>
    <row r="33" spans="1:11" ht="15" customHeight="1" x14ac:dyDescent="0.25">
      <c r="A33" s="8">
        <v>31</v>
      </c>
      <c r="B33" s="9" t="s">
        <v>133</v>
      </c>
      <c r="C33" s="8" t="s">
        <v>134</v>
      </c>
      <c r="D33" s="8" t="s">
        <v>130</v>
      </c>
      <c r="E33" s="8">
        <v>3</v>
      </c>
      <c r="F33" s="8" t="s">
        <v>68</v>
      </c>
      <c r="G33" s="15">
        <v>60</v>
      </c>
      <c r="H33" s="14">
        <v>1430.6</v>
      </c>
      <c r="I33" s="8" t="s">
        <v>62</v>
      </c>
      <c r="J33" s="8" t="s">
        <v>62</v>
      </c>
      <c r="K33" s="8">
        <v>0</v>
      </c>
    </row>
    <row r="34" spans="1:11" ht="15" customHeight="1" x14ac:dyDescent="0.25">
      <c r="A34" s="11">
        <v>32</v>
      </c>
      <c r="B34" s="12" t="s">
        <v>135</v>
      </c>
      <c r="C34" s="11" t="s">
        <v>136</v>
      </c>
      <c r="D34" s="11" t="s">
        <v>130</v>
      </c>
      <c r="E34" s="11">
        <v>4</v>
      </c>
      <c r="F34" s="11" t="s">
        <v>84</v>
      </c>
      <c r="G34" s="11">
        <v>16</v>
      </c>
      <c r="H34" s="13">
        <v>1672.61</v>
      </c>
      <c r="I34" s="11" t="s">
        <v>62</v>
      </c>
      <c r="J34" s="11" t="s">
        <v>62</v>
      </c>
      <c r="K34" s="11">
        <v>2</v>
      </c>
    </row>
    <row r="35" spans="1:11" ht="15" customHeight="1" x14ac:dyDescent="0.25">
      <c r="A35" s="8">
        <v>33</v>
      </c>
      <c r="B35" s="9" t="s">
        <v>137</v>
      </c>
      <c r="C35" s="8" t="s">
        <v>138</v>
      </c>
      <c r="D35" s="8" t="s">
        <v>139</v>
      </c>
      <c r="E35" s="8">
        <v>1</v>
      </c>
      <c r="F35" s="8" t="s">
        <v>71</v>
      </c>
      <c r="G35" s="8">
        <v>3</v>
      </c>
      <c r="H35" s="10">
        <v>1870</v>
      </c>
      <c r="I35" s="8" t="s">
        <v>62</v>
      </c>
      <c r="J35" s="8" t="s">
        <v>62</v>
      </c>
      <c r="K35" s="8">
        <v>2</v>
      </c>
    </row>
    <row r="36" spans="1:11" ht="15" customHeight="1" x14ac:dyDescent="0.25">
      <c r="A36" s="11">
        <v>34</v>
      </c>
      <c r="B36" s="12" t="s">
        <v>140</v>
      </c>
      <c r="C36" s="11" t="s">
        <v>141</v>
      </c>
      <c r="D36" s="11" t="s">
        <v>139</v>
      </c>
      <c r="E36" s="11">
        <v>2</v>
      </c>
      <c r="F36" s="11" t="s">
        <v>65</v>
      </c>
      <c r="G36" s="11">
        <v>19</v>
      </c>
      <c r="H36" s="13">
        <v>1648.06</v>
      </c>
      <c r="I36" s="11" t="s">
        <v>62</v>
      </c>
      <c r="J36" s="11" t="s">
        <v>62</v>
      </c>
      <c r="K36" s="11">
        <v>0</v>
      </c>
    </row>
    <row r="37" spans="1:11" ht="15" customHeight="1" x14ac:dyDescent="0.25">
      <c r="A37" s="8">
        <v>35</v>
      </c>
      <c r="B37" s="9" t="s">
        <v>142</v>
      </c>
      <c r="C37" s="8" t="s">
        <v>143</v>
      </c>
      <c r="D37" s="8" t="s">
        <v>139</v>
      </c>
      <c r="E37" s="8">
        <v>3</v>
      </c>
      <c r="F37" s="8" t="s">
        <v>68</v>
      </c>
      <c r="G37" s="15">
        <v>58</v>
      </c>
      <c r="H37" s="14">
        <v>1437.3</v>
      </c>
      <c r="I37" s="8" t="s">
        <v>62</v>
      </c>
      <c r="J37" s="8" t="s">
        <v>62</v>
      </c>
      <c r="K37" s="8">
        <v>0</v>
      </c>
    </row>
    <row r="38" spans="1:11" ht="15" customHeight="1" x14ac:dyDescent="0.25">
      <c r="A38" s="11">
        <v>36</v>
      </c>
      <c r="B38" s="12" t="s">
        <v>144</v>
      </c>
      <c r="C38" s="11" t="s">
        <v>145</v>
      </c>
      <c r="D38" s="11" t="s">
        <v>139</v>
      </c>
      <c r="E38" s="11">
        <v>4</v>
      </c>
      <c r="F38" s="11" t="s">
        <v>71</v>
      </c>
      <c r="G38" s="11">
        <v>29</v>
      </c>
      <c r="H38" s="13">
        <v>1553.13</v>
      </c>
      <c r="I38" s="11" t="s">
        <v>62</v>
      </c>
      <c r="J38" s="11" t="s">
        <v>62</v>
      </c>
      <c r="K38" s="11">
        <v>0</v>
      </c>
    </row>
    <row r="39" spans="1:11" ht="15" customHeight="1" x14ac:dyDescent="0.25">
      <c r="A39" s="8">
        <v>37</v>
      </c>
      <c r="B39" s="9" t="s">
        <v>146</v>
      </c>
      <c r="C39" s="8" t="s">
        <v>147</v>
      </c>
      <c r="D39" s="8" t="s">
        <v>148</v>
      </c>
      <c r="E39" s="8">
        <v>1</v>
      </c>
      <c r="F39" s="8" t="s">
        <v>84</v>
      </c>
      <c r="G39" s="8">
        <v>2</v>
      </c>
      <c r="H39" s="10">
        <v>1873.32</v>
      </c>
      <c r="I39" s="8" t="s">
        <v>62</v>
      </c>
      <c r="J39" s="8" t="s">
        <v>62</v>
      </c>
      <c r="K39" s="8">
        <v>3</v>
      </c>
    </row>
    <row r="40" spans="1:11" ht="15" customHeight="1" x14ac:dyDescent="0.25">
      <c r="A40" s="11">
        <v>38</v>
      </c>
      <c r="B40" s="12" t="s">
        <v>149</v>
      </c>
      <c r="C40" s="11" t="s">
        <v>150</v>
      </c>
      <c r="D40" s="11" t="s">
        <v>148</v>
      </c>
      <c r="E40" s="11">
        <v>2</v>
      </c>
      <c r="F40" s="11" t="s">
        <v>65</v>
      </c>
      <c r="G40" s="11">
        <v>35</v>
      </c>
      <c r="H40" s="13">
        <v>1516.37</v>
      </c>
      <c r="I40" s="11" t="s">
        <v>62</v>
      </c>
      <c r="J40" s="11" t="s">
        <v>62</v>
      </c>
      <c r="K40" s="11">
        <v>0</v>
      </c>
    </row>
    <row r="41" spans="1:11" ht="15" customHeight="1" x14ac:dyDescent="0.25">
      <c r="A41" s="8">
        <v>39</v>
      </c>
      <c r="B41" s="9" t="s">
        <v>151</v>
      </c>
      <c r="C41" s="8" t="s">
        <v>152</v>
      </c>
      <c r="D41" s="8" t="s">
        <v>148</v>
      </c>
      <c r="E41" s="8">
        <v>3</v>
      </c>
      <c r="F41" s="8" t="s">
        <v>71</v>
      </c>
      <c r="G41" s="8">
        <v>24</v>
      </c>
      <c r="H41" s="10">
        <v>1585.5</v>
      </c>
      <c r="I41" s="8" t="s">
        <v>62</v>
      </c>
      <c r="J41" s="8" t="s">
        <v>62</v>
      </c>
      <c r="K41" s="8">
        <v>0</v>
      </c>
    </row>
    <row r="42" spans="1:11" ht="15" customHeight="1" x14ac:dyDescent="0.25">
      <c r="A42" s="11">
        <v>40</v>
      </c>
      <c r="B42" s="12" t="s">
        <v>153</v>
      </c>
      <c r="C42" s="11" t="s">
        <v>154</v>
      </c>
      <c r="D42" s="11" t="s">
        <v>148</v>
      </c>
      <c r="E42" s="11">
        <v>4</v>
      </c>
      <c r="F42" s="11" t="s">
        <v>68</v>
      </c>
      <c r="G42" s="11">
        <v>66</v>
      </c>
      <c r="H42" s="13">
        <v>1410.6</v>
      </c>
      <c r="I42" s="11" t="s">
        <v>62</v>
      </c>
      <c r="J42" s="11" t="s">
        <v>61</v>
      </c>
      <c r="K42" s="11">
        <v>0</v>
      </c>
    </row>
    <row r="43" spans="1:11" ht="15" customHeight="1" x14ac:dyDescent="0.25">
      <c r="A43" s="8">
        <v>41</v>
      </c>
      <c r="B43" s="9" t="s">
        <v>155</v>
      </c>
      <c r="C43" s="8" t="s">
        <v>156</v>
      </c>
      <c r="D43" s="8" t="s">
        <v>157</v>
      </c>
      <c r="E43" s="8">
        <v>1</v>
      </c>
      <c r="F43" s="8" t="s">
        <v>71</v>
      </c>
      <c r="G43" s="8">
        <v>6</v>
      </c>
      <c r="H43" s="10">
        <v>1760.39</v>
      </c>
      <c r="I43" s="8" t="s">
        <v>62</v>
      </c>
      <c r="J43" s="8" t="s">
        <v>62</v>
      </c>
      <c r="K43" s="8">
        <v>0</v>
      </c>
    </row>
    <row r="44" spans="1:11" ht="15" customHeight="1" x14ac:dyDescent="0.25">
      <c r="A44" s="11">
        <v>42</v>
      </c>
      <c r="B44" s="12" t="s">
        <v>158</v>
      </c>
      <c r="C44" s="11" t="s">
        <v>159</v>
      </c>
      <c r="D44" s="11" t="s">
        <v>157</v>
      </c>
      <c r="E44" s="11">
        <v>2</v>
      </c>
      <c r="F44" s="11" t="s">
        <v>65</v>
      </c>
      <c r="G44" s="11">
        <v>56</v>
      </c>
      <c r="H44" s="13">
        <v>1442.51</v>
      </c>
      <c r="I44" s="11" t="s">
        <v>62</v>
      </c>
      <c r="J44" s="11" t="s">
        <v>62</v>
      </c>
      <c r="K44" s="11">
        <v>0</v>
      </c>
    </row>
    <row r="45" spans="1:11" ht="15" customHeight="1" x14ac:dyDescent="0.25">
      <c r="A45" s="8">
        <v>43</v>
      </c>
      <c r="B45" s="9" t="s">
        <v>160</v>
      </c>
      <c r="C45" s="8" t="s">
        <v>161</v>
      </c>
      <c r="D45" s="8" t="s">
        <v>157</v>
      </c>
      <c r="E45" s="8">
        <v>3</v>
      </c>
      <c r="F45" s="8" t="s">
        <v>68</v>
      </c>
      <c r="G45" s="15">
        <v>50</v>
      </c>
      <c r="H45" s="14">
        <v>1464</v>
      </c>
      <c r="I45" s="8" t="s">
        <v>62</v>
      </c>
      <c r="J45" s="8" t="s">
        <v>61</v>
      </c>
      <c r="K45" s="8">
        <v>0</v>
      </c>
    </row>
    <row r="46" spans="1:11" ht="15" customHeight="1" x14ac:dyDescent="0.25">
      <c r="A46" s="11">
        <v>44</v>
      </c>
      <c r="B46" s="12" t="s">
        <v>162</v>
      </c>
      <c r="C46" s="11" t="s">
        <v>163</v>
      </c>
      <c r="D46" s="11" t="s">
        <v>157</v>
      </c>
      <c r="E46" s="11">
        <v>4</v>
      </c>
      <c r="F46" s="11" t="s">
        <v>84</v>
      </c>
      <c r="G46" s="11">
        <v>13</v>
      </c>
      <c r="H46" s="13">
        <v>1701.29</v>
      </c>
      <c r="I46" s="11" t="s">
        <v>62</v>
      </c>
      <c r="J46" s="11" t="s">
        <v>62</v>
      </c>
      <c r="K46" s="11">
        <v>0</v>
      </c>
    </row>
    <row r="47" spans="1:11" ht="15" customHeight="1" x14ac:dyDescent="0.25">
      <c r="A47" s="8">
        <v>45</v>
      </c>
      <c r="B47" s="9" t="s">
        <v>164</v>
      </c>
      <c r="C47" s="8" t="s">
        <v>165</v>
      </c>
      <c r="D47" s="8" t="s">
        <v>166</v>
      </c>
      <c r="E47" s="8">
        <v>1</v>
      </c>
      <c r="F47" s="8" t="s">
        <v>71</v>
      </c>
      <c r="G47" s="8">
        <v>4</v>
      </c>
      <c r="H47" s="10">
        <v>1834.11</v>
      </c>
      <c r="I47" s="8" t="s">
        <v>62</v>
      </c>
      <c r="J47" s="8" t="s">
        <v>62</v>
      </c>
      <c r="K47" s="8">
        <v>1</v>
      </c>
    </row>
    <row r="48" spans="1:11" ht="15" customHeight="1" x14ac:dyDescent="0.25">
      <c r="A48" s="11">
        <v>46</v>
      </c>
      <c r="B48" s="12" t="s">
        <v>167</v>
      </c>
      <c r="C48" s="11" t="s">
        <v>168</v>
      </c>
      <c r="D48" s="11" t="s">
        <v>166</v>
      </c>
      <c r="E48" s="11">
        <v>2</v>
      </c>
      <c r="F48" s="11" t="s">
        <v>71</v>
      </c>
      <c r="G48" s="11">
        <v>10</v>
      </c>
      <c r="H48" s="13">
        <v>1716.89</v>
      </c>
      <c r="I48" s="11" t="s">
        <v>62</v>
      </c>
      <c r="J48" s="11" t="s">
        <v>62</v>
      </c>
      <c r="K48" s="11">
        <v>0</v>
      </c>
    </row>
    <row r="49" spans="1:11" ht="15" customHeight="1" x14ac:dyDescent="0.25">
      <c r="A49" s="8">
        <v>47</v>
      </c>
      <c r="B49" s="9" t="s">
        <v>169</v>
      </c>
      <c r="C49" s="8" t="s">
        <v>170</v>
      </c>
      <c r="D49" s="8" t="s">
        <v>166</v>
      </c>
      <c r="E49" s="8">
        <v>3</v>
      </c>
      <c r="F49" s="8" t="s">
        <v>65</v>
      </c>
      <c r="G49" s="8">
        <v>72</v>
      </c>
      <c r="H49" s="14">
        <v>1390.5</v>
      </c>
      <c r="I49" s="8" t="s">
        <v>62</v>
      </c>
      <c r="J49" s="8" t="s">
        <v>62</v>
      </c>
      <c r="K49" s="8">
        <v>0</v>
      </c>
    </row>
    <row r="50" spans="1:11" ht="15" customHeight="1" x14ac:dyDescent="0.25">
      <c r="A50" s="11">
        <v>48</v>
      </c>
      <c r="B50" s="12" t="s">
        <v>171</v>
      </c>
      <c r="C50" s="11" t="s">
        <v>172</v>
      </c>
      <c r="D50" s="11" t="s">
        <v>166</v>
      </c>
      <c r="E50" s="11">
        <v>4</v>
      </c>
      <c r="F50" s="11" t="s">
        <v>60</v>
      </c>
      <c r="G50" s="11">
        <v>30</v>
      </c>
      <c r="H50" s="13">
        <v>1540.42</v>
      </c>
      <c r="I50" s="11" t="s">
        <v>62</v>
      </c>
      <c r="J50" s="11" t="s">
        <v>62</v>
      </c>
      <c r="K50" s="11">
        <v>0</v>
      </c>
    </row>
    <row r="51" spans="1:11" ht="15.75" customHeight="1" x14ac:dyDescent="0.25"/>
    <row r="52" spans="1:11" ht="15" customHeight="1" x14ac:dyDescent="0.25">
      <c r="B52" s="35" t="s">
        <v>173</v>
      </c>
      <c r="C52" s="36"/>
      <c r="D52" s="36"/>
      <c r="E52" s="36"/>
      <c r="F52" s="36"/>
      <c r="G52" s="36"/>
      <c r="H52" s="36"/>
      <c r="I52" s="36"/>
      <c r="J52" s="36"/>
      <c r="K52" s="36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7" t="s">
        <v>174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4"/>
    </row>
    <row r="2" spans="1:18" ht="32.25" customHeight="1" x14ac:dyDescent="0.25">
      <c r="A2" s="16" t="s">
        <v>46</v>
      </c>
      <c r="B2" s="16" t="s">
        <v>47</v>
      </c>
      <c r="C2" s="16" t="s">
        <v>175</v>
      </c>
      <c r="D2" s="16" t="s">
        <v>176</v>
      </c>
      <c r="E2" s="16" t="s">
        <v>177</v>
      </c>
      <c r="F2" s="16" t="s">
        <v>178</v>
      </c>
      <c r="G2" s="16" t="s">
        <v>179</v>
      </c>
      <c r="H2" s="16" t="s">
        <v>180</v>
      </c>
      <c r="I2" s="16" t="s">
        <v>181</v>
      </c>
      <c r="J2" s="16" t="s">
        <v>182</v>
      </c>
      <c r="K2" s="16" t="s">
        <v>183</v>
      </c>
      <c r="L2" s="16" t="s">
        <v>184</v>
      </c>
      <c r="M2" s="16" t="s">
        <v>185</v>
      </c>
      <c r="N2" s="16" t="s">
        <v>186</v>
      </c>
      <c r="O2" s="16" t="s">
        <v>187</v>
      </c>
      <c r="P2" s="16" t="s">
        <v>188</v>
      </c>
      <c r="Q2" s="16" t="s">
        <v>189</v>
      </c>
      <c r="R2" s="16" t="s">
        <v>190</v>
      </c>
    </row>
    <row r="3" spans="1:18" ht="15" customHeight="1" x14ac:dyDescent="0.25">
      <c r="A3" s="8">
        <v>1</v>
      </c>
      <c r="B3" s="17" t="s">
        <v>57</v>
      </c>
      <c r="C3" s="8" t="s">
        <v>60</v>
      </c>
      <c r="D3" s="8">
        <v>18</v>
      </c>
      <c r="E3" s="18">
        <v>1930</v>
      </c>
      <c r="F3" s="17" t="s">
        <v>191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63</v>
      </c>
      <c r="C4" s="8" t="s">
        <v>65</v>
      </c>
      <c r="D4" s="8">
        <v>4</v>
      </c>
      <c r="E4" s="18">
        <v>1998</v>
      </c>
      <c r="F4" s="17" t="s">
        <v>192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66</v>
      </c>
      <c r="C5" s="8" t="s">
        <v>68</v>
      </c>
      <c r="D5" s="8">
        <v>12</v>
      </c>
      <c r="E5" s="18">
        <v>1954</v>
      </c>
      <c r="F5" s="17" t="s">
        <v>193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69</v>
      </c>
      <c r="C6" s="8" t="s">
        <v>71</v>
      </c>
      <c r="D6" s="8">
        <v>10</v>
      </c>
      <c r="E6" s="18">
        <v>1934</v>
      </c>
      <c r="F6" s="17" t="s">
        <v>194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72</v>
      </c>
      <c r="C7" s="11" t="s">
        <v>60</v>
      </c>
      <c r="D7" s="11">
        <v>3</v>
      </c>
      <c r="E7" s="21">
        <v>1986</v>
      </c>
      <c r="F7" s="20" t="s">
        <v>192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75</v>
      </c>
      <c r="C8" s="11" t="s">
        <v>71</v>
      </c>
      <c r="D8" s="11">
        <v>2</v>
      </c>
      <c r="E8" s="21">
        <v>2014</v>
      </c>
      <c r="F8" s="20" t="s">
        <v>192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77</v>
      </c>
      <c r="C9" s="11" t="s">
        <v>68</v>
      </c>
      <c r="D9" s="11">
        <v>2</v>
      </c>
      <c r="E9" s="21">
        <v>2022</v>
      </c>
      <c r="F9" s="20" t="s">
        <v>192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79</v>
      </c>
      <c r="C10" s="11" t="s">
        <v>71</v>
      </c>
      <c r="D10" s="11">
        <v>13</v>
      </c>
      <c r="E10" s="21">
        <v>1934</v>
      </c>
      <c r="F10" s="20" t="s">
        <v>195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81</v>
      </c>
      <c r="C11" s="8" t="s">
        <v>84</v>
      </c>
      <c r="D11" s="8">
        <v>23</v>
      </c>
      <c r="E11" s="18">
        <v>1930</v>
      </c>
      <c r="F11" s="17" t="s">
        <v>196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85</v>
      </c>
      <c r="C12" s="8" t="s">
        <v>65</v>
      </c>
      <c r="D12" s="8">
        <v>7</v>
      </c>
      <c r="E12" s="18">
        <v>1970</v>
      </c>
      <c r="F12" s="17" t="s">
        <v>197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87</v>
      </c>
      <c r="C13" s="8" t="s">
        <v>60</v>
      </c>
      <c r="D13" s="8">
        <v>2</v>
      </c>
      <c r="E13" s="18">
        <v>1974</v>
      </c>
      <c r="F13" s="17" t="s">
        <v>192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89</v>
      </c>
      <c r="C14" s="8" t="s">
        <v>71</v>
      </c>
      <c r="D14" s="8">
        <v>9</v>
      </c>
      <c r="E14" s="18">
        <v>1954</v>
      </c>
      <c r="F14" s="17" t="s">
        <v>192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91</v>
      </c>
      <c r="C15" s="11" t="s">
        <v>60</v>
      </c>
      <c r="D15" s="11">
        <v>12</v>
      </c>
      <c r="E15" s="21">
        <v>1930</v>
      </c>
      <c r="F15" s="20" t="s">
        <v>198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94</v>
      </c>
      <c r="C16" s="11" t="s">
        <v>84</v>
      </c>
      <c r="D16" s="11">
        <v>9</v>
      </c>
      <c r="E16" s="21">
        <v>1930</v>
      </c>
      <c r="F16" s="20" t="s">
        <v>199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96</v>
      </c>
      <c r="C17" s="11" t="s">
        <v>68</v>
      </c>
      <c r="D17" s="11">
        <v>7</v>
      </c>
      <c r="E17" s="21">
        <v>1974</v>
      </c>
      <c r="F17" s="20" t="s">
        <v>200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98</v>
      </c>
      <c r="C18" s="11" t="s">
        <v>71</v>
      </c>
      <c r="D18" s="11">
        <v>3</v>
      </c>
      <c r="E18" s="21">
        <v>1954</v>
      </c>
      <c r="F18" s="20" t="s">
        <v>201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100</v>
      </c>
      <c r="C19" s="8" t="s">
        <v>71</v>
      </c>
      <c r="D19" s="8">
        <v>21</v>
      </c>
      <c r="E19" s="18">
        <v>1934</v>
      </c>
      <c r="F19" s="17" t="s">
        <v>202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103</v>
      </c>
      <c r="C20" s="8" t="s">
        <v>60</v>
      </c>
      <c r="D20" s="8">
        <v>1</v>
      </c>
      <c r="E20" s="18">
        <v>2026</v>
      </c>
      <c r="F20" s="17" t="s">
        <v>203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105</v>
      </c>
      <c r="C21" s="8" t="s">
        <v>65</v>
      </c>
      <c r="D21" s="8">
        <v>4</v>
      </c>
      <c r="E21" s="18">
        <v>2006</v>
      </c>
      <c r="F21" s="17" t="s">
        <v>192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107</v>
      </c>
      <c r="C22" s="8" t="s">
        <v>84</v>
      </c>
      <c r="D22" s="8">
        <v>5</v>
      </c>
      <c r="E22" s="18">
        <v>2002</v>
      </c>
      <c r="F22" s="17" t="s">
        <v>204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109</v>
      </c>
      <c r="C23" s="11" t="s">
        <v>71</v>
      </c>
      <c r="D23" s="11">
        <v>12</v>
      </c>
      <c r="E23" s="21">
        <v>1934</v>
      </c>
      <c r="F23" s="20" t="s">
        <v>205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112</v>
      </c>
      <c r="C24" s="11" t="s">
        <v>68</v>
      </c>
      <c r="D24" s="11">
        <v>8</v>
      </c>
      <c r="E24" s="21">
        <v>1998</v>
      </c>
      <c r="F24" s="20" t="s">
        <v>206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114</v>
      </c>
      <c r="C25" s="11" t="s">
        <v>71</v>
      </c>
      <c r="D25" s="11">
        <v>13</v>
      </c>
      <c r="E25" s="21">
        <v>1934</v>
      </c>
      <c r="F25" s="20" t="s">
        <v>207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116</v>
      </c>
      <c r="C26" s="11" t="s">
        <v>65</v>
      </c>
      <c r="D26" s="11">
        <v>7</v>
      </c>
      <c r="E26" s="21">
        <v>1978</v>
      </c>
      <c r="F26" s="20" t="s">
        <v>192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118</v>
      </c>
      <c r="C27" s="8" t="s">
        <v>71</v>
      </c>
      <c r="D27" s="8">
        <v>15</v>
      </c>
      <c r="E27" s="18">
        <v>1930</v>
      </c>
      <c r="F27" s="17" t="s">
        <v>208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121</v>
      </c>
      <c r="C28" s="8" t="s">
        <v>65</v>
      </c>
      <c r="D28" s="8">
        <v>4</v>
      </c>
      <c r="E28" s="18">
        <v>1934</v>
      </c>
      <c r="F28" s="17" t="s">
        <v>209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123</v>
      </c>
      <c r="C29" s="8" t="s">
        <v>68</v>
      </c>
      <c r="D29" s="8">
        <v>7</v>
      </c>
      <c r="E29" s="18">
        <v>1978</v>
      </c>
      <c r="F29" s="17" t="s">
        <v>192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125</v>
      </c>
      <c r="C30" s="8" t="s">
        <v>127</v>
      </c>
      <c r="D30" s="8">
        <v>3</v>
      </c>
      <c r="E30" s="18">
        <v>1982</v>
      </c>
      <c r="F30" s="17" t="s">
        <v>192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128</v>
      </c>
      <c r="C31" s="11" t="s">
        <v>71</v>
      </c>
      <c r="D31" s="11">
        <v>17</v>
      </c>
      <c r="E31" s="21">
        <v>1934</v>
      </c>
      <c r="F31" s="20" t="s">
        <v>210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131</v>
      </c>
      <c r="C32" s="11" t="s">
        <v>65</v>
      </c>
      <c r="D32" s="11">
        <v>1</v>
      </c>
      <c r="E32" s="21">
        <v>2026</v>
      </c>
      <c r="F32" s="20" t="s">
        <v>203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133</v>
      </c>
      <c r="C33" s="11" t="s">
        <v>68</v>
      </c>
      <c r="D33" s="11">
        <v>7</v>
      </c>
      <c r="E33" s="21">
        <v>1994</v>
      </c>
      <c r="F33" s="20" t="s">
        <v>211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135</v>
      </c>
      <c r="C34" s="11" t="s">
        <v>84</v>
      </c>
      <c r="D34" s="11">
        <v>15</v>
      </c>
      <c r="E34" s="21">
        <v>1930</v>
      </c>
      <c r="F34" s="20" t="s">
        <v>212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137</v>
      </c>
      <c r="C35" s="8" t="s">
        <v>71</v>
      </c>
      <c r="D35" s="8">
        <v>17</v>
      </c>
      <c r="E35" s="18">
        <v>1930</v>
      </c>
      <c r="F35" s="17" t="s">
        <v>213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140</v>
      </c>
      <c r="C36" s="8" t="s">
        <v>65</v>
      </c>
      <c r="D36" s="8">
        <v>4</v>
      </c>
      <c r="E36" s="18">
        <v>2002</v>
      </c>
      <c r="F36" s="17" t="s">
        <v>214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142</v>
      </c>
      <c r="C37" s="8" t="s">
        <v>68</v>
      </c>
      <c r="D37" s="8">
        <v>2</v>
      </c>
      <c r="E37" s="18">
        <v>1986</v>
      </c>
      <c r="F37" s="17" t="s">
        <v>192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144</v>
      </c>
      <c r="C38" s="8" t="s">
        <v>71</v>
      </c>
      <c r="D38" s="8">
        <v>4</v>
      </c>
      <c r="E38" s="18">
        <v>1938</v>
      </c>
      <c r="F38" s="17" t="s">
        <v>215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146</v>
      </c>
      <c r="C39" s="11" t="s">
        <v>84</v>
      </c>
      <c r="D39" s="11">
        <v>19</v>
      </c>
      <c r="E39" s="21">
        <v>1930</v>
      </c>
      <c r="F39" s="20" t="s">
        <v>216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149</v>
      </c>
      <c r="C40" s="11" t="s">
        <v>65</v>
      </c>
      <c r="D40" s="11">
        <v>5</v>
      </c>
      <c r="E40" s="21">
        <v>1982</v>
      </c>
      <c r="F40" s="20" t="s">
        <v>217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151</v>
      </c>
      <c r="C41" s="11" t="s">
        <v>71</v>
      </c>
      <c r="D41" s="11">
        <v>8</v>
      </c>
      <c r="E41" s="21">
        <v>1934</v>
      </c>
      <c r="F41" s="20" t="s">
        <v>218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153</v>
      </c>
      <c r="C42" s="11" t="s">
        <v>68</v>
      </c>
      <c r="D42" s="11">
        <v>1</v>
      </c>
      <c r="E42" s="21">
        <v>2026</v>
      </c>
      <c r="F42" s="20" t="s">
        <v>203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155</v>
      </c>
      <c r="C43" s="8" t="s">
        <v>71</v>
      </c>
      <c r="D43" s="8">
        <v>9</v>
      </c>
      <c r="E43" s="18">
        <v>1966</v>
      </c>
      <c r="F43" s="17" t="s">
        <v>219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158</v>
      </c>
      <c r="C44" s="8" t="s">
        <v>65</v>
      </c>
      <c r="D44" s="8">
        <v>2</v>
      </c>
      <c r="E44" s="18">
        <v>1974</v>
      </c>
      <c r="F44" s="17" t="s">
        <v>220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160</v>
      </c>
      <c r="C45" s="8" t="s">
        <v>68</v>
      </c>
      <c r="D45" s="8">
        <v>1</v>
      </c>
      <c r="E45" s="18">
        <v>2026</v>
      </c>
      <c r="F45" s="17" t="s">
        <v>203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162</v>
      </c>
      <c r="C46" s="8" t="s">
        <v>84</v>
      </c>
      <c r="D46" s="8">
        <v>7</v>
      </c>
      <c r="E46" s="18">
        <v>1962</v>
      </c>
      <c r="F46" s="17" t="s">
        <v>221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164</v>
      </c>
      <c r="C47" s="11" t="s">
        <v>71</v>
      </c>
      <c r="D47" s="11">
        <v>17</v>
      </c>
      <c r="E47" s="21">
        <v>1950</v>
      </c>
      <c r="F47" s="20" t="s">
        <v>222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167</v>
      </c>
      <c r="C48" s="11" t="s">
        <v>71</v>
      </c>
      <c r="D48" s="11">
        <v>7</v>
      </c>
      <c r="E48" s="21">
        <v>1998</v>
      </c>
      <c r="F48" s="20" t="s">
        <v>223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169</v>
      </c>
      <c r="C49" s="11" t="s">
        <v>65</v>
      </c>
      <c r="D49" s="11">
        <v>5</v>
      </c>
      <c r="E49" s="21">
        <v>2006</v>
      </c>
      <c r="F49" s="20" t="s">
        <v>199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171</v>
      </c>
      <c r="C50" s="11" t="s">
        <v>60</v>
      </c>
      <c r="D50" s="11">
        <v>2</v>
      </c>
      <c r="E50" s="21">
        <v>2018</v>
      </c>
      <c r="F50" s="20" t="s">
        <v>192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8" t="s">
        <v>224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</row>
    <row r="53" spans="1:18" ht="15" customHeight="1" x14ac:dyDescent="0.25"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</row>
    <row r="54" spans="1:18" ht="15" customHeight="1" x14ac:dyDescent="0.25"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7" t="s">
        <v>225</v>
      </c>
      <c r="B1" s="33"/>
      <c r="C1" s="33"/>
      <c r="D1" s="33"/>
      <c r="E1" s="33"/>
      <c r="F1" s="33"/>
      <c r="G1" s="34"/>
    </row>
    <row r="2" spans="1:10" ht="15" customHeight="1" x14ac:dyDescent="0.25">
      <c r="A2" s="16" t="s">
        <v>46</v>
      </c>
      <c r="B2" s="16" t="s">
        <v>47</v>
      </c>
      <c r="C2" s="16" t="s">
        <v>226</v>
      </c>
      <c r="D2" s="16" t="s">
        <v>227</v>
      </c>
      <c r="E2" s="16" t="s">
        <v>228</v>
      </c>
      <c r="F2" s="16" t="s">
        <v>229</v>
      </c>
      <c r="G2" s="16" t="s">
        <v>230</v>
      </c>
      <c r="H2" s="23" t="s">
        <v>231</v>
      </c>
      <c r="I2" s="23" t="s">
        <v>232</v>
      </c>
      <c r="J2" s="23" t="s">
        <v>233</v>
      </c>
    </row>
    <row r="3" spans="1:10" ht="23.25" customHeight="1" x14ac:dyDescent="0.25">
      <c r="A3" s="8">
        <v>1</v>
      </c>
      <c r="B3" s="9" t="s">
        <v>57</v>
      </c>
      <c r="C3" s="9" t="s">
        <v>234</v>
      </c>
      <c r="D3" s="9" t="s">
        <v>57</v>
      </c>
      <c r="E3" s="8">
        <v>2024</v>
      </c>
      <c r="F3" s="9" t="s">
        <v>235</v>
      </c>
      <c r="G3" s="9" t="s">
        <v>236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63</v>
      </c>
      <c r="C4" s="9" t="s">
        <v>237</v>
      </c>
      <c r="D4" s="9" t="s">
        <v>118</v>
      </c>
      <c r="E4" s="8">
        <v>2021</v>
      </c>
      <c r="F4" s="9" t="s">
        <v>238</v>
      </c>
      <c r="G4" s="9" t="s">
        <v>239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66</v>
      </c>
      <c r="C5" s="9" t="s">
        <v>240</v>
      </c>
      <c r="D5" s="9" t="s">
        <v>66</v>
      </c>
      <c r="E5" s="8">
        <v>2024</v>
      </c>
      <c r="F5" s="9" t="s">
        <v>241</v>
      </c>
      <c r="G5" s="9" t="s">
        <v>242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69</v>
      </c>
      <c r="C6" s="9" t="s">
        <v>243</v>
      </c>
      <c r="D6" s="9" t="s">
        <v>69</v>
      </c>
      <c r="E6" s="8">
        <v>2024</v>
      </c>
      <c r="F6" s="9" t="s">
        <v>244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72</v>
      </c>
      <c r="C7" s="12" t="s">
        <v>245</v>
      </c>
      <c r="D7" s="12" t="s">
        <v>91</v>
      </c>
      <c r="E7" s="11">
        <v>2024</v>
      </c>
      <c r="F7" s="12" t="s">
        <v>246</v>
      </c>
      <c r="G7" s="12" t="s">
        <v>247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75</v>
      </c>
      <c r="C8" s="12" t="s">
        <v>248</v>
      </c>
      <c r="D8" s="12" t="s">
        <v>75</v>
      </c>
      <c r="E8" s="11">
        <v>2024</v>
      </c>
      <c r="F8" s="12" t="s">
        <v>249</v>
      </c>
      <c r="G8" s="12" t="s">
        <v>250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77</v>
      </c>
      <c r="C9" s="12" t="s">
        <v>251</v>
      </c>
      <c r="D9" s="12" t="s">
        <v>128</v>
      </c>
      <c r="E9" s="11">
        <v>2025</v>
      </c>
      <c r="F9" s="12" t="s">
        <v>252</v>
      </c>
      <c r="G9" s="12" t="s">
        <v>253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79</v>
      </c>
      <c r="C10" s="12" t="s">
        <v>254</v>
      </c>
      <c r="D10" s="12" t="s">
        <v>79</v>
      </c>
      <c r="E10" s="11">
        <v>2021</v>
      </c>
      <c r="F10" s="12" t="s">
        <v>255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81</v>
      </c>
      <c r="C11" s="9" t="s">
        <v>256</v>
      </c>
      <c r="D11" s="9" t="s">
        <v>257</v>
      </c>
      <c r="E11" s="8">
        <v>2025</v>
      </c>
      <c r="F11" s="9" t="s">
        <v>258</v>
      </c>
      <c r="G11" s="9" t="s">
        <v>259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85</v>
      </c>
      <c r="C12" s="24" t="s">
        <v>260</v>
      </c>
      <c r="D12" s="9" t="s">
        <v>85</v>
      </c>
      <c r="E12" s="8">
        <v>2026</v>
      </c>
      <c r="F12" s="9" t="s">
        <v>261</v>
      </c>
      <c r="G12" s="9" t="s">
        <v>262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87</v>
      </c>
      <c r="C13" s="9" t="s">
        <v>263</v>
      </c>
      <c r="D13" s="9" t="s">
        <v>137</v>
      </c>
      <c r="E13" s="8">
        <v>2024</v>
      </c>
      <c r="F13" s="9" t="s">
        <v>264</v>
      </c>
      <c r="G13" s="9" t="s">
        <v>265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89</v>
      </c>
      <c r="C14" s="9" t="s">
        <v>266</v>
      </c>
      <c r="D14" s="9" t="s">
        <v>89</v>
      </c>
      <c r="E14" s="8">
        <v>2019</v>
      </c>
      <c r="F14" s="9" t="s">
        <v>267</v>
      </c>
      <c r="G14" s="9" t="s">
        <v>268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91</v>
      </c>
      <c r="C15" s="12" t="s">
        <v>269</v>
      </c>
      <c r="D15" s="12" t="s">
        <v>146</v>
      </c>
      <c r="E15" s="11">
        <v>2024</v>
      </c>
      <c r="F15" s="12" t="s">
        <v>270</v>
      </c>
      <c r="G15" s="12" t="s">
        <v>271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94</v>
      </c>
      <c r="C16" s="12" t="s">
        <v>272</v>
      </c>
      <c r="D16" s="12" t="s">
        <v>146</v>
      </c>
      <c r="E16" s="11">
        <v>2024</v>
      </c>
      <c r="F16" s="12" t="s">
        <v>273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96</v>
      </c>
      <c r="C17" s="12" t="s">
        <v>274</v>
      </c>
      <c r="D17" s="12" t="s">
        <v>96</v>
      </c>
      <c r="E17" s="11">
        <v>2024</v>
      </c>
      <c r="F17" s="12" t="s">
        <v>275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98</v>
      </c>
      <c r="C18" s="12" t="s">
        <v>276</v>
      </c>
      <c r="D18" s="12" t="s">
        <v>257</v>
      </c>
      <c r="E18" s="11">
        <v>2023</v>
      </c>
      <c r="F18" s="12" t="s">
        <v>277</v>
      </c>
      <c r="G18" s="12" t="s">
        <v>278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100</v>
      </c>
      <c r="C19" s="9" t="s">
        <v>279</v>
      </c>
      <c r="D19" s="9" t="s">
        <v>100</v>
      </c>
      <c r="E19" s="8">
        <v>2023</v>
      </c>
      <c r="F19" s="9" t="s">
        <v>280</v>
      </c>
      <c r="G19" s="9" t="s">
        <v>281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103</v>
      </c>
      <c r="C20" s="9" t="s">
        <v>282</v>
      </c>
      <c r="D20" s="9" t="s">
        <v>109</v>
      </c>
      <c r="E20" s="8">
        <v>2024</v>
      </c>
      <c r="F20" s="9" t="s">
        <v>283</v>
      </c>
      <c r="G20" s="9" t="s">
        <v>284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105</v>
      </c>
      <c r="C21" s="9" t="s">
        <v>285</v>
      </c>
      <c r="D21" s="9" t="s">
        <v>105</v>
      </c>
      <c r="E21" s="8">
        <v>2024</v>
      </c>
      <c r="F21" s="9" t="s">
        <v>286</v>
      </c>
      <c r="G21" s="9" t="s">
        <v>287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107</v>
      </c>
      <c r="C22" s="9" t="s">
        <v>288</v>
      </c>
      <c r="D22" s="9" t="s">
        <v>146</v>
      </c>
      <c r="E22" s="8">
        <v>2024</v>
      </c>
      <c r="F22" s="9" t="s">
        <v>289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109</v>
      </c>
      <c r="C23" s="12" t="s">
        <v>290</v>
      </c>
      <c r="D23" s="12" t="s">
        <v>109</v>
      </c>
      <c r="E23" s="11">
        <v>2023</v>
      </c>
      <c r="F23" s="12" t="s">
        <v>291</v>
      </c>
      <c r="G23" s="12" t="s">
        <v>292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112</v>
      </c>
      <c r="C24" s="12" t="s">
        <v>293</v>
      </c>
      <c r="D24" s="12" t="s">
        <v>112</v>
      </c>
      <c r="E24" s="11">
        <v>2018</v>
      </c>
      <c r="F24" s="12" t="s">
        <v>294</v>
      </c>
      <c r="G24" s="12" t="s">
        <v>295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114</v>
      </c>
      <c r="C25" s="12" t="s">
        <v>296</v>
      </c>
      <c r="D25" s="12" t="s">
        <v>164</v>
      </c>
      <c r="E25" s="11">
        <v>2025</v>
      </c>
      <c r="F25" s="12" t="s">
        <v>270</v>
      </c>
      <c r="G25" s="12" t="s">
        <v>297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116</v>
      </c>
      <c r="C26" s="12" t="s">
        <v>298</v>
      </c>
      <c r="D26" s="12" t="s">
        <v>116</v>
      </c>
      <c r="E26" s="11">
        <v>2025</v>
      </c>
      <c r="F26" s="12" t="s">
        <v>299</v>
      </c>
      <c r="G26" s="12" t="s">
        <v>300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118</v>
      </c>
      <c r="C27" s="9" t="s">
        <v>301</v>
      </c>
      <c r="D27" s="9" t="s">
        <v>137</v>
      </c>
      <c r="E27" s="8">
        <v>2025</v>
      </c>
      <c r="F27" s="9" t="s">
        <v>302</v>
      </c>
      <c r="G27" s="9" t="s">
        <v>303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121</v>
      </c>
      <c r="C28" s="9" t="s">
        <v>304</v>
      </c>
      <c r="D28" s="9" t="s">
        <v>121</v>
      </c>
      <c r="E28" s="8">
        <v>2024</v>
      </c>
      <c r="F28" s="9" t="s">
        <v>305</v>
      </c>
      <c r="G28" s="9" t="s">
        <v>306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123</v>
      </c>
      <c r="C29" s="9" t="s">
        <v>307</v>
      </c>
      <c r="D29" s="9" t="s">
        <v>123</v>
      </c>
      <c r="E29" s="8">
        <v>2023</v>
      </c>
      <c r="F29" s="9" t="s">
        <v>308</v>
      </c>
      <c r="G29" s="9" t="s">
        <v>309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125</v>
      </c>
      <c r="C30" s="9" t="s">
        <v>310</v>
      </c>
      <c r="D30" s="9" t="s">
        <v>164</v>
      </c>
      <c r="E30" s="8">
        <v>2023</v>
      </c>
      <c r="F30" s="9" t="s">
        <v>311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128</v>
      </c>
      <c r="C31" s="12" t="s">
        <v>312</v>
      </c>
      <c r="D31" s="12" t="s">
        <v>128</v>
      </c>
      <c r="E31" s="11">
        <v>2022</v>
      </c>
      <c r="F31" s="12" t="s">
        <v>313</v>
      </c>
      <c r="G31" s="12" t="s">
        <v>314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131</v>
      </c>
      <c r="C32" s="12" t="s">
        <v>315</v>
      </c>
      <c r="D32" s="12" t="s">
        <v>131</v>
      </c>
      <c r="E32" s="11">
        <v>2020</v>
      </c>
      <c r="F32" s="12" t="s">
        <v>316</v>
      </c>
      <c r="G32" s="12" t="s">
        <v>317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133</v>
      </c>
      <c r="C33" s="12" t="s">
        <v>318</v>
      </c>
      <c r="D33" s="12" t="s">
        <v>319</v>
      </c>
      <c r="E33" s="11">
        <v>2025</v>
      </c>
      <c r="F33" s="12" t="s">
        <v>320</v>
      </c>
      <c r="G33" s="12" t="s">
        <v>321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135</v>
      </c>
      <c r="C34" s="12" t="s">
        <v>322</v>
      </c>
      <c r="D34" s="12" t="s">
        <v>146</v>
      </c>
      <c r="E34" s="11">
        <v>2023</v>
      </c>
      <c r="F34" s="12" t="s">
        <v>246</v>
      </c>
      <c r="G34" s="12" t="s">
        <v>323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137</v>
      </c>
      <c r="C35" s="9" t="s">
        <v>324</v>
      </c>
      <c r="D35" s="9" t="s">
        <v>137</v>
      </c>
      <c r="E35" s="8">
        <v>2012</v>
      </c>
      <c r="F35" s="9" t="s">
        <v>325</v>
      </c>
      <c r="G35" s="9" t="s">
        <v>326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140</v>
      </c>
      <c r="C36" s="9" t="s">
        <v>327</v>
      </c>
      <c r="D36" s="9" t="s">
        <v>140</v>
      </c>
      <c r="E36" s="8">
        <v>2024</v>
      </c>
      <c r="F36" s="9" t="s">
        <v>328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142</v>
      </c>
      <c r="C37" s="9" t="s">
        <v>329</v>
      </c>
      <c r="D37" s="9" t="s">
        <v>96</v>
      </c>
      <c r="E37" s="8">
        <v>2025</v>
      </c>
      <c r="F37" s="9" t="s">
        <v>330</v>
      </c>
      <c r="G37" s="9" t="s">
        <v>331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144</v>
      </c>
      <c r="C38" s="9" t="s">
        <v>332</v>
      </c>
      <c r="D38" s="9" t="s">
        <v>144</v>
      </c>
      <c r="E38" s="8">
        <v>2020</v>
      </c>
      <c r="F38" s="9" t="s">
        <v>333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146</v>
      </c>
      <c r="C39" s="12" t="s">
        <v>334</v>
      </c>
      <c r="D39" s="12" t="s">
        <v>146</v>
      </c>
      <c r="E39" s="11">
        <v>2018</v>
      </c>
      <c r="F39" s="12" t="s">
        <v>335</v>
      </c>
      <c r="G39" s="12" t="s">
        <v>336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149</v>
      </c>
      <c r="C40" s="12" t="s">
        <v>337</v>
      </c>
      <c r="D40" s="12" t="s">
        <v>75</v>
      </c>
      <c r="E40" s="11">
        <v>2024</v>
      </c>
      <c r="F40" s="12" t="s">
        <v>338</v>
      </c>
      <c r="G40" s="12" t="s">
        <v>339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151</v>
      </c>
      <c r="C41" s="12" t="s">
        <v>340</v>
      </c>
      <c r="D41" s="12" t="s">
        <v>100</v>
      </c>
      <c r="E41" s="11">
        <v>2022</v>
      </c>
      <c r="F41" s="12" t="s">
        <v>341</v>
      </c>
      <c r="G41" s="12" t="s">
        <v>342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153</v>
      </c>
      <c r="C42" s="12" t="s">
        <v>343</v>
      </c>
      <c r="D42" s="12" t="s">
        <v>85</v>
      </c>
      <c r="E42" s="11">
        <v>2024</v>
      </c>
      <c r="F42" s="12" t="s">
        <v>344</v>
      </c>
      <c r="G42" s="12" t="s">
        <v>345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155</v>
      </c>
      <c r="C43" s="9" t="s">
        <v>346</v>
      </c>
      <c r="D43" s="9" t="s">
        <v>128</v>
      </c>
      <c r="E43" s="8">
        <v>2023</v>
      </c>
      <c r="F43" s="9" t="s">
        <v>347</v>
      </c>
      <c r="G43" s="9" t="s">
        <v>348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158</v>
      </c>
      <c r="C44" s="9" t="s">
        <v>349</v>
      </c>
      <c r="D44" s="9" t="s">
        <v>137</v>
      </c>
      <c r="E44" s="8">
        <v>2022</v>
      </c>
      <c r="F44" s="9" t="s">
        <v>350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160</v>
      </c>
      <c r="C45" s="9" t="s">
        <v>351</v>
      </c>
      <c r="D45" s="9" t="s">
        <v>257</v>
      </c>
      <c r="E45" s="8">
        <v>2025</v>
      </c>
      <c r="F45" s="9" t="s">
        <v>352</v>
      </c>
      <c r="G45" s="9" t="s">
        <v>353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162</v>
      </c>
      <c r="C46" s="9" t="s">
        <v>354</v>
      </c>
      <c r="D46" s="9" t="s">
        <v>146</v>
      </c>
      <c r="E46" s="8">
        <v>2022</v>
      </c>
      <c r="F46" s="9" t="s">
        <v>355</v>
      </c>
      <c r="G46" s="9" t="s">
        <v>356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164</v>
      </c>
      <c r="C47" s="12" t="s">
        <v>357</v>
      </c>
      <c r="D47" s="12" t="s">
        <v>100</v>
      </c>
      <c r="E47" s="11">
        <v>2025</v>
      </c>
      <c r="F47" s="12" t="s">
        <v>280</v>
      </c>
      <c r="G47" s="12" t="s">
        <v>358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167</v>
      </c>
      <c r="C48" s="12" t="s">
        <v>359</v>
      </c>
      <c r="D48" s="12" t="s">
        <v>167</v>
      </c>
      <c r="E48" s="11">
        <v>2017</v>
      </c>
      <c r="F48" s="12" t="s">
        <v>360</v>
      </c>
      <c r="G48" s="12" t="s">
        <v>361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169</v>
      </c>
      <c r="C49" s="24" t="s">
        <v>362</v>
      </c>
      <c r="D49" s="12" t="s">
        <v>155</v>
      </c>
      <c r="E49" s="11">
        <v>2026</v>
      </c>
      <c r="F49" s="12" t="s">
        <v>363</v>
      </c>
      <c r="G49" s="12" t="s">
        <v>364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171</v>
      </c>
      <c r="C50" s="12" t="s">
        <v>365</v>
      </c>
      <c r="D50" s="12" t="s">
        <v>128</v>
      </c>
      <c r="E50" s="11">
        <v>2020</v>
      </c>
      <c r="F50" s="12" t="s">
        <v>366</v>
      </c>
      <c r="G50" s="12" t="s">
        <v>367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8" t="s">
        <v>368</v>
      </c>
      <c r="C52" s="36"/>
      <c r="D52" s="36"/>
      <c r="E52" s="36"/>
      <c r="F52" s="36"/>
      <c r="G52" s="36"/>
    </row>
    <row r="53" spans="1:10" ht="15" customHeight="1" x14ac:dyDescent="0.25">
      <c r="B53" s="36"/>
      <c r="C53" s="36"/>
      <c r="D53" s="36"/>
      <c r="E53" s="36"/>
      <c r="F53" s="36"/>
      <c r="G53" s="36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G1"/>
    <mergeCell ref="B52:G53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2" t="s">
        <v>369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4"/>
    </row>
    <row r="2" spans="1:16" ht="15" customHeight="1" x14ac:dyDescent="0.25">
      <c r="A2" s="25" t="s">
        <v>46</v>
      </c>
      <c r="B2" s="25" t="s">
        <v>47</v>
      </c>
      <c r="C2" s="25" t="s">
        <v>51</v>
      </c>
      <c r="D2" s="25" t="s">
        <v>182</v>
      </c>
      <c r="E2" s="25" t="s">
        <v>183</v>
      </c>
      <c r="F2" s="25" t="s">
        <v>184</v>
      </c>
      <c r="G2" s="25" t="s">
        <v>185</v>
      </c>
      <c r="H2" s="25" t="s">
        <v>186</v>
      </c>
      <c r="I2" s="25" t="s">
        <v>187</v>
      </c>
      <c r="J2" s="25" t="s">
        <v>370</v>
      </c>
      <c r="K2" s="25" t="s">
        <v>188</v>
      </c>
      <c r="L2" s="25" t="s">
        <v>371</v>
      </c>
      <c r="M2" s="25" t="s">
        <v>372</v>
      </c>
      <c r="N2" s="25" t="s">
        <v>373</v>
      </c>
      <c r="O2" s="23" t="s">
        <v>374</v>
      </c>
      <c r="P2" s="23" t="s">
        <v>375</v>
      </c>
    </row>
    <row r="3" spans="1:16" ht="15" customHeight="1" x14ac:dyDescent="0.25">
      <c r="A3" s="8">
        <v>1</v>
      </c>
      <c r="B3" s="9" t="s">
        <v>57</v>
      </c>
      <c r="C3" s="8" t="s">
        <v>60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63</v>
      </c>
      <c r="C4" s="8" t="s">
        <v>65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66</v>
      </c>
      <c r="C5" s="8" t="s">
        <v>68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69</v>
      </c>
      <c r="C6" s="8" t="s">
        <v>71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72</v>
      </c>
      <c r="C7" s="8" t="s">
        <v>60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75</v>
      </c>
      <c r="C8" s="8" t="s">
        <v>71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77</v>
      </c>
      <c r="C9" s="8" t="s">
        <v>68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79</v>
      </c>
      <c r="C10" s="8" t="s">
        <v>71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81</v>
      </c>
      <c r="C11" s="8" t="s">
        <v>84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85</v>
      </c>
      <c r="C12" s="8" t="s">
        <v>65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87</v>
      </c>
      <c r="C13" s="8" t="s">
        <v>60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89</v>
      </c>
      <c r="C14" s="8" t="s">
        <v>71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91</v>
      </c>
      <c r="C15" s="8" t="s">
        <v>60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94</v>
      </c>
      <c r="C16" s="8" t="s">
        <v>84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96</v>
      </c>
      <c r="C17" s="8" t="s">
        <v>68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98</v>
      </c>
      <c r="C18" s="8" t="s">
        <v>71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100</v>
      </c>
      <c r="C19" s="8" t="s">
        <v>71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103</v>
      </c>
      <c r="C20" s="8" t="s">
        <v>60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105</v>
      </c>
      <c r="C21" s="8" t="s">
        <v>65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107</v>
      </c>
      <c r="C22" s="8" t="s">
        <v>84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109</v>
      </c>
      <c r="C23" s="8" t="s">
        <v>71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112</v>
      </c>
      <c r="C24" s="8" t="s">
        <v>68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114</v>
      </c>
      <c r="C25" s="8" t="s">
        <v>71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116</v>
      </c>
      <c r="C26" s="8" t="s">
        <v>65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118</v>
      </c>
      <c r="C27" s="8" t="s">
        <v>71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121</v>
      </c>
      <c r="C28" s="8" t="s">
        <v>65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123</v>
      </c>
      <c r="C29" s="8" t="s">
        <v>68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125</v>
      </c>
      <c r="C30" s="8" t="s">
        <v>127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128</v>
      </c>
      <c r="C31" s="8" t="s">
        <v>71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131</v>
      </c>
      <c r="C32" s="8" t="s">
        <v>65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133</v>
      </c>
      <c r="C33" s="8" t="s">
        <v>68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135</v>
      </c>
      <c r="C34" s="8" t="s">
        <v>84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137</v>
      </c>
      <c r="C35" s="8" t="s">
        <v>71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140</v>
      </c>
      <c r="C36" s="8" t="s">
        <v>65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142</v>
      </c>
      <c r="C37" s="8" t="s">
        <v>68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144</v>
      </c>
      <c r="C38" s="8" t="s">
        <v>71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146</v>
      </c>
      <c r="C39" s="8" t="s">
        <v>84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149</v>
      </c>
      <c r="C40" s="8" t="s">
        <v>65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151</v>
      </c>
      <c r="C41" s="8" t="s">
        <v>71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153</v>
      </c>
      <c r="C42" s="8" t="s">
        <v>68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155</v>
      </c>
      <c r="C43" s="8" t="s">
        <v>71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158</v>
      </c>
      <c r="C44" s="8" t="s">
        <v>65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160</v>
      </c>
      <c r="C45" s="8" t="s">
        <v>68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162</v>
      </c>
      <c r="C46" s="8" t="s">
        <v>84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164</v>
      </c>
      <c r="C47" s="8" t="s">
        <v>71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167</v>
      </c>
      <c r="C48" s="8" t="s">
        <v>71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169</v>
      </c>
      <c r="C49" s="8" t="s">
        <v>65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171</v>
      </c>
      <c r="C50" s="8" t="s">
        <v>60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5" t="s">
        <v>376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N1"/>
    <mergeCell ref="B52:N52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2" t="s">
        <v>377</v>
      </c>
      <c r="B1" s="33"/>
      <c r="C1" s="33"/>
      <c r="D1" s="33"/>
      <c r="E1" s="33"/>
      <c r="F1" s="33"/>
      <c r="G1" s="33"/>
      <c r="H1" s="33"/>
      <c r="I1" s="33"/>
      <c r="J1" s="34"/>
    </row>
    <row r="2" spans="1:10" ht="23.25" customHeight="1" x14ac:dyDescent="0.25">
      <c r="A2" s="25" t="s">
        <v>46</v>
      </c>
      <c r="B2" s="25" t="s">
        <v>47</v>
      </c>
      <c r="C2" s="25" t="s">
        <v>48</v>
      </c>
      <c r="D2" s="25" t="s">
        <v>378</v>
      </c>
      <c r="E2" s="25" t="s">
        <v>379</v>
      </c>
      <c r="F2" s="25" t="s">
        <v>380</v>
      </c>
      <c r="G2" s="25" t="s">
        <v>381</v>
      </c>
      <c r="H2" s="25" t="s">
        <v>382</v>
      </c>
      <c r="I2" s="25" t="s">
        <v>383</v>
      </c>
      <c r="J2" s="25" t="s">
        <v>384</v>
      </c>
    </row>
    <row r="3" spans="1:10" ht="15" customHeight="1" x14ac:dyDescent="0.25">
      <c r="A3" s="8">
        <v>1</v>
      </c>
      <c r="B3" s="9" t="s">
        <v>57</v>
      </c>
      <c r="C3" s="8" t="s">
        <v>58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63</v>
      </c>
      <c r="C4" s="8" t="s">
        <v>64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66</v>
      </c>
      <c r="C5" s="8" t="s">
        <v>67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69</v>
      </c>
      <c r="C6" s="8" t="s">
        <v>70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72</v>
      </c>
      <c r="C7" s="8" t="s">
        <v>73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75</v>
      </c>
      <c r="C8" s="8" t="s">
        <v>76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77</v>
      </c>
      <c r="C9" s="8" t="s">
        <v>78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79</v>
      </c>
      <c r="C10" s="8" t="s">
        <v>80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81</v>
      </c>
      <c r="C11" s="8" t="s">
        <v>82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85</v>
      </c>
      <c r="C12" s="8" t="s">
        <v>86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87</v>
      </c>
      <c r="C13" s="8" t="s">
        <v>88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89</v>
      </c>
      <c r="C14" s="8" t="s">
        <v>90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91</v>
      </c>
      <c r="C15" s="8" t="s">
        <v>92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94</v>
      </c>
      <c r="C16" s="8" t="s">
        <v>95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96</v>
      </c>
      <c r="C17" s="8" t="s">
        <v>97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98</v>
      </c>
      <c r="C18" s="8" t="s">
        <v>99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100</v>
      </c>
      <c r="C19" s="8" t="s">
        <v>101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103</v>
      </c>
      <c r="C20" s="8" t="s">
        <v>104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105</v>
      </c>
      <c r="C21" s="8" t="s">
        <v>106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107</v>
      </c>
      <c r="C22" s="8" t="s">
        <v>108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109</v>
      </c>
      <c r="C23" s="8" t="s">
        <v>110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112</v>
      </c>
      <c r="C24" s="8" t="s">
        <v>113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114</v>
      </c>
      <c r="C25" s="8" t="s">
        <v>115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116</v>
      </c>
      <c r="C26" s="8" t="s">
        <v>117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118</v>
      </c>
      <c r="C27" s="8" t="s">
        <v>119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121</v>
      </c>
      <c r="C28" s="8" t="s">
        <v>122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123</v>
      </c>
      <c r="C29" s="8" t="s">
        <v>124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125</v>
      </c>
      <c r="C30" s="8" t="s">
        <v>126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128</v>
      </c>
      <c r="C31" s="8" t="s">
        <v>129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131</v>
      </c>
      <c r="C32" s="8" t="s">
        <v>132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133</v>
      </c>
      <c r="C33" s="8" t="s">
        <v>134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135</v>
      </c>
      <c r="C34" s="8" t="s">
        <v>136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137</v>
      </c>
      <c r="C35" s="8" t="s">
        <v>138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140</v>
      </c>
      <c r="C36" s="8" t="s">
        <v>141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142</v>
      </c>
      <c r="C37" s="8" t="s">
        <v>143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144</v>
      </c>
      <c r="C38" s="8" t="s">
        <v>145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146</v>
      </c>
      <c r="C39" s="8" t="s">
        <v>147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149</v>
      </c>
      <c r="C40" s="8" t="s">
        <v>150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151</v>
      </c>
      <c r="C41" s="8" t="s">
        <v>152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153</v>
      </c>
      <c r="C42" s="8" t="s">
        <v>154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155</v>
      </c>
      <c r="C43" s="8" t="s">
        <v>156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158</v>
      </c>
      <c r="C44" s="8" t="s">
        <v>159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160</v>
      </c>
      <c r="C45" s="8" t="s">
        <v>161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162</v>
      </c>
      <c r="C46" s="8" t="s">
        <v>163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164</v>
      </c>
      <c r="C47" s="8" t="s">
        <v>165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167</v>
      </c>
      <c r="C48" s="8" t="s">
        <v>168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169</v>
      </c>
      <c r="C49" s="8" t="s">
        <v>170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171</v>
      </c>
      <c r="C50" s="8" t="s">
        <v>172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5" t="s">
        <v>385</v>
      </c>
      <c r="C52" s="36"/>
      <c r="D52" s="36"/>
      <c r="E52" s="36"/>
      <c r="F52" s="36"/>
      <c r="G52" s="36"/>
      <c r="H52" s="36"/>
      <c r="I52" s="36"/>
      <c r="J52" s="36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tabSelected="1" workbookViewId="0">
      <pane ySplit="2" topLeftCell="A49" activePane="bottomLeft" state="frozen"/>
      <selection pane="bottomLeft" activeCell="H74" sqref="H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2" t="s">
        <v>386</v>
      </c>
      <c r="B1" s="33"/>
      <c r="C1" s="33"/>
      <c r="D1" s="33"/>
      <c r="E1" s="33"/>
      <c r="F1" s="33"/>
      <c r="G1" s="33"/>
      <c r="H1" s="33"/>
      <c r="I1" s="33"/>
      <c r="J1" s="34"/>
    </row>
    <row r="2" spans="1:11" ht="15" customHeight="1" x14ac:dyDescent="0.25">
      <c r="A2" s="7" t="s">
        <v>387</v>
      </c>
      <c r="B2" s="7" t="s">
        <v>49</v>
      </c>
      <c r="C2" s="7" t="s">
        <v>388</v>
      </c>
      <c r="D2" s="7" t="s">
        <v>389</v>
      </c>
      <c r="E2" s="7" t="s">
        <v>390</v>
      </c>
      <c r="F2" s="7" t="s">
        <v>391</v>
      </c>
      <c r="G2" s="7" t="s">
        <v>392</v>
      </c>
      <c r="H2" s="7" t="s">
        <v>393</v>
      </c>
      <c r="I2" s="7" t="s">
        <v>394</v>
      </c>
      <c r="J2" s="7" t="s">
        <v>395</v>
      </c>
      <c r="K2" s="27" t="s">
        <v>54</v>
      </c>
    </row>
    <row r="3" spans="1:11" ht="15" customHeight="1" x14ac:dyDescent="0.25">
      <c r="A3" s="8">
        <v>1</v>
      </c>
      <c r="B3" s="8" t="s">
        <v>59</v>
      </c>
      <c r="C3" s="8">
        <v>1</v>
      </c>
      <c r="D3" s="9" t="s">
        <v>57</v>
      </c>
      <c r="E3" s="9" t="s">
        <v>63</v>
      </c>
      <c r="F3" s="26">
        <v>2</v>
      </c>
      <c r="G3" s="26">
        <v>0</v>
      </c>
      <c r="H3" s="8">
        <f t="shared" ref="H3:H74" si="0">IF(AND(ISNUMBER(F3),ISNUMBER(G3)),1,0)</f>
        <v>1</v>
      </c>
      <c r="I3" s="8">
        <f t="shared" ref="I3:I74" si="1">IF(H3=1,IF(F3&gt;G3,3,IF(F3=G3,1,0)),"")</f>
        <v>3</v>
      </c>
      <c r="J3" s="8">
        <f t="shared" ref="J3:J74" si="2">IF(H3=1,IF(G3&gt;F3,3,IF(F3=G3,1,0)),"")</f>
        <v>0</v>
      </c>
    </row>
    <row r="4" spans="1:11" ht="15" customHeight="1" x14ac:dyDescent="0.25">
      <c r="A4" s="11">
        <v>2</v>
      </c>
      <c r="B4" s="11" t="s">
        <v>59</v>
      </c>
      <c r="C4" s="11">
        <v>1</v>
      </c>
      <c r="D4" s="12" t="s">
        <v>66</v>
      </c>
      <c r="E4" s="12" t="s">
        <v>69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59</v>
      </c>
      <c r="C5" s="8">
        <v>2</v>
      </c>
      <c r="D5" s="9" t="s">
        <v>57</v>
      </c>
      <c r="E5" s="9" t="s">
        <v>66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59</v>
      </c>
      <c r="C6" s="11">
        <v>2</v>
      </c>
      <c r="D6" s="12" t="s">
        <v>63</v>
      </c>
      <c r="E6" s="12" t="s">
        <v>69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59</v>
      </c>
      <c r="C7" s="8">
        <v>3</v>
      </c>
      <c r="D7" s="9" t="s">
        <v>57</v>
      </c>
      <c r="E7" s="9" t="s">
        <v>69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59</v>
      </c>
      <c r="C8" s="11">
        <v>3</v>
      </c>
      <c r="D8" s="12" t="s">
        <v>63</v>
      </c>
      <c r="E8" s="12" t="s">
        <v>66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74</v>
      </c>
      <c r="C9" s="8">
        <v>1</v>
      </c>
      <c r="D9" s="9" t="s">
        <v>72</v>
      </c>
      <c r="E9" s="9" t="s">
        <v>75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74</v>
      </c>
      <c r="C10" s="11">
        <v>1</v>
      </c>
      <c r="D10" s="12" t="s">
        <v>77</v>
      </c>
      <c r="E10" s="12" t="s">
        <v>79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74</v>
      </c>
      <c r="C11" s="8">
        <v>2</v>
      </c>
      <c r="D11" s="9" t="s">
        <v>72</v>
      </c>
      <c r="E11" s="9" t="s">
        <v>77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74</v>
      </c>
      <c r="C12" s="11">
        <v>2</v>
      </c>
      <c r="D12" s="12" t="s">
        <v>75</v>
      </c>
      <c r="E12" s="12" t="s">
        <v>79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74</v>
      </c>
      <c r="C13" s="8">
        <v>3</v>
      </c>
      <c r="D13" s="9" t="s">
        <v>72</v>
      </c>
      <c r="E13" s="9" t="s">
        <v>79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74</v>
      </c>
      <c r="C14" s="11">
        <v>3</v>
      </c>
      <c r="D14" s="12" t="s">
        <v>75</v>
      </c>
      <c r="E14" s="12" t="s">
        <v>77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83</v>
      </c>
      <c r="C15" s="8">
        <v>1</v>
      </c>
      <c r="D15" s="9" t="s">
        <v>81</v>
      </c>
      <c r="E15" s="9" t="s">
        <v>85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83</v>
      </c>
      <c r="C16" s="11">
        <v>1</v>
      </c>
      <c r="D16" s="12" t="s">
        <v>87</v>
      </c>
      <c r="E16" s="12" t="s">
        <v>89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83</v>
      </c>
      <c r="C17" s="8">
        <v>2</v>
      </c>
      <c r="D17" s="9" t="s">
        <v>81</v>
      </c>
      <c r="E17" s="9" t="s">
        <v>87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83</v>
      </c>
      <c r="C18" s="11">
        <v>2</v>
      </c>
      <c r="D18" s="12" t="s">
        <v>85</v>
      </c>
      <c r="E18" s="12" t="s">
        <v>89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83</v>
      </c>
      <c r="C19" s="8">
        <v>3</v>
      </c>
      <c r="D19" s="9" t="s">
        <v>81</v>
      </c>
      <c r="E19" s="9" t="s">
        <v>89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83</v>
      </c>
      <c r="C20" s="11">
        <v>3</v>
      </c>
      <c r="D20" s="12" t="s">
        <v>85</v>
      </c>
      <c r="E20" s="12" t="s">
        <v>87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93</v>
      </c>
      <c r="C21" s="8">
        <v>1</v>
      </c>
      <c r="D21" s="9" t="s">
        <v>91</v>
      </c>
      <c r="E21" s="9" t="s">
        <v>94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93</v>
      </c>
      <c r="C22" s="11">
        <v>1</v>
      </c>
      <c r="D22" s="12" t="s">
        <v>96</v>
      </c>
      <c r="E22" s="12" t="s">
        <v>98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93</v>
      </c>
      <c r="C23" s="8">
        <v>2</v>
      </c>
      <c r="D23" s="9" t="s">
        <v>91</v>
      </c>
      <c r="E23" s="9" t="s">
        <v>96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93</v>
      </c>
      <c r="C24" s="11">
        <v>2</v>
      </c>
      <c r="D24" s="12" t="s">
        <v>94</v>
      </c>
      <c r="E24" s="12" t="s">
        <v>98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93</v>
      </c>
      <c r="C25" s="8">
        <v>3</v>
      </c>
      <c r="D25" s="9" t="s">
        <v>91</v>
      </c>
      <c r="E25" s="9" t="s">
        <v>98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93</v>
      </c>
      <c r="C26" s="11">
        <v>3</v>
      </c>
      <c r="D26" s="12" t="s">
        <v>94</v>
      </c>
      <c r="E26" s="12" t="s">
        <v>96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102</v>
      </c>
      <c r="C27" s="8">
        <v>1</v>
      </c>
      <c r="D27" s="9" t="s">
        <v>100</v>
      </c>
      <c r="E27" s="9" t="s">
        <v>103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102</v>
      </c>
      <c r="C28" s="11">
        <v>1</v>
      </c>
      <c r="D28" s="12" t="s">
        <v>105</v>
      </c>
      <c r="E28" s="12" t="s">
        <v>107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102</v>
      </c>
      <c r="C29" s="8">
        <v>2</v>
      </c>
      <c r="D29" s="9" t="s">
        <v>100</v>
      </c>
      <c r="E29" s="9" t="s">
        <v>105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102</v>
      </c>
      <c r="C30" s="11">
        <v>2</v>
      </c>
      <c r="D30" s="12" t="s">
        <v>103</v>
      </c>
      <c r="E30" s="12" t="s">
        <v>107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102</v>
      </c>
      <c r="C31" s="8">
        <v>3</v>
      </c>
      <c r="D31" s="9" t="s">
        <v>100</v>
      </c>
      <c r="E31" s="9" t="s">
        <v>107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102</v>
      </c>
      <c r="C32" s="11">
        <v>3</v>
      </c>
      <c r="D32" s="12" t="s">
        <v>103</v>
      </c>
      <c r="E32" s="12" t="s">
        <v>105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111</v>
      </c>
      <c r="C33" s="8">
        <v>1</v>
      </c>
      <c r="D33" s="9" t="s">
        <v>109</v>
      </c>
      <c r="E33" s="9" t="s">
        <v>112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111</v>
      </c>
      <c r="C34" s="11">
        <v>1</v>
      </c>
      <c r="D34" s="12" t="s">
        <v>114</v>
      </c>
      <c r="E34" s="12" t="s">
        <v>116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111</v>
      </c>
      <c r="C35" s="8">
        <v>2</v>
      </c>
      <c r="D35" s="9" t="s">
        <v>109</v>
      </c>
      <c r="E35" s="9" t="s">
        <v>114</v>
      </c>
      <c r="F35" s="26">
        <v>5</v>
      </c>
      <c r="G35" s="26">
        <v>1</v>
      </c>
      <c r="H35" s="8">
        <f t="shared" si="0"/>
        <v>1</v>
      </c>
      <c r="I35" s="8">
        <f t="shared" si="1"/>
        <v>3</v>
      </c>
      <c r="J35" s="8">
        <f t="shared" si="2"/>
        <v>0</v>
      </c>
    </row>
    <row r="36" spans="1:10" ht="15" customHeight="1" x14ac:dyDescent="0.25">
      <c r="A36" s="11">
        <v>34</v>
      </c>
      <c r="B36" s="11" t="s">
        <v>111</v>
      </c>
      <c r="C36" s="11">
        <v>2</v>
      </c>
      <c r="D36" s="12" t="s">
        <v>112</v>
      </c>
      <c r="E36" s="12" t="s">
        <v>116</v>
      </c>
      <c r="F36" s="28">
        <v>4</v>
      </c>
      <c r="G36" s="28">
        <v>0</v>
      </c>
      <c r="H36" s="11">
        <f t="shared" si="0"/>
        <v>1</v>
      </c>
      <c r="I36" s="11">
        <f t="shared" si="1"/>
        <v>3</v>
      </c>
      <c r="J36" s="11">
        <f t="shared" si="2"/>
        <v>0</v>
      </c>
    </row>
    <row r="37" spans="1:10" ht="15" customHeight="1" x14ac:dyDescent="0.25">
      <c r="A37" s="8">
        <v>35</v>
      </c>
      <c r="B37" s="8" t="s">
        <v>111</v>
      </c>
      <c r="C37" s="8">
        <v>3</v>
      </c>
      <c r="D37" s="9" t="s">
        <v>109</v>
      </c>
      <c r="E37" s="9" t="s">
        <v>116</v>
      </c>
      <c r="F37" s="26">
        <v>3</v>
      </c>
      <c r="G37" s="26">
        <v>1</v>
      </c>
      <c r="H37" s="8">
        <f t="shared" si="0"/>
        <v>1</v>
      </c>
      <c r="I37" s="8">
        <f t="shared" si="1"/>
        <v>3</v>
      </c>
      <c r="J37" s="8">
        <f t="shared" si="2"/>
        <v>0</v>
      </c>
    </row>
    <row r="38" spans="1:10" ht="15" customHeight="1" x14ac:dyDescent="0.25">
      <c r="A38" s="11">
        <v>36</v>
      </c>
      <c r="B38" s="11" t="s">
        <v>111</v>
      </c>
      <c r="C38" s="11">
        <v>3</v>
      </c>
      <c r="D38" s="12" t="s">
        <v>112</v>
      </c>
      <c r="E38" s="12" t="s">
        <v>114</v>
      </c>
      <c r="F38" s="28">
        <v>1</v>
      </c>
      <c r="G38" s="28">
        <v>1</v>
      </c>
      <c r="H38" s="11">
        <f t="shared" si="0"/>
        <v>1</v>
      </c>
      <c r="I38" s="11">
        <f t="shared" si="1"/>
        <v>1</v>
      </c>
      <c r="J38" s="11">
        <f t="shared" si="2"/>
        <v>1</v>
      </c>
    </row>
    <row r="39" spans="1:10" ht="15" customHeight="1" x14ac:dyDescent="0.25">
      <c r="A39" s="8">
        <v>37</v>
      </c>
      <c r="B39" s="8" t="s">
        <v>120</v>
      </c>
      <c r="C39" s="8">
        <v>1</v>
      </c>
      <c r="D39" s="9" t="s">
        <v>118</v>
      </c>
      <c r="E39" s="9" t="s">
        <v>121</v>
      </c>
      <c r="F39" s="26">
        <v>1</v>
      </c>
      <c r="G39" s="26">
        <v>1</v>
      </c>
      <c r="H39" s="8">
        <f t="shared" si="0"/>
        <v>1</v>
      </c>
      <c r="I39" s="8">
        <f t="shared" si="1"/>
        <v>1</v>
      </c>
      <c r="J39" s="8">
        <f t="shared" si="2"/>
        <v>1</v>
      </c>
    </row>
    <row r="40" spans="1:10" ht="15" customHeight="1" x14ac:dyDescent="0.25">
      <c r="A40" s="11">
        <v>38</v>
      </c>
      <c r="B40" s="11" t="s">
        <v>120</v>
      </c>
      <c r="C40" s="11">
        <v>1</v>
      </c>
      <c r="D40" s="12" t="s">
        <v>123</v>
      </c>
      <c r="E40" s="12" t="s">
        <v>125</v>
      </c>
      <c r="F40" s="28">
        <v>2</v>
      </c>
      <c r="G40" s="28">
        <v>2</v>
      </c>
      <c r="H40" s="11">
        <f t="shared" si="0"/>
        <v>1</v>
      </c>
      <c r="I40" s="11">
        <f t="shared" si="1"/>
        <v>1</v>
      </c>
      <c r="J40" s="11">
        <f t="shared" si="2"/>
        <v>1</v>
      </c>
    </row>
    <row r="41" spans="1:10" ht="15" customHeight="1" x14ac:dyDescent="0.25">
      <c r="A41" s="8">
        <v>39</v>
      </c>
      <c r="B41" s="8" t="s">
        <v>120</v>
      </c>
      <c r="C41" s="8">
        <v>2</v>
      </c>
      <c r="D41" s="9" t="s">
        <v>118</v>
      </c>
      <c r="E41" s="9" t="s">
        <v>123</v>
      </c>
      <c r="F41" s="26">
        <v>0</v>
      </c>
      <c r="G41" s="26">
        <v>0</v>
      </c>
      <c r="H41" s="8">
        <f t="shared" si="0"/>
        <v>1</v>
      </c>
      <c r="I41" s="8">
        <f t="shared" si="1"/>
        <v>1</v>
      </c>
      <c r="J41" s="8">
        <f t="shared" si="2"/>
        <v>1</v>
      </c>
    </row>
    <row r="42" spans="1:10" ht="15" customHeight="1" x14ac:dyDescent="0.25">
      <c r="A42" s="11">
        <v>40</v>
      </c>
      <c r="B42" s="11" t="s">
        <v>120</v>
      </c>
      <c r="C42" s="11">
        <v>2</v>
      </c>
      <c r="D42" s="12" t="s">
        <v>121</v>
      </c>
      <c r="E42" s="12" t="s">
        <v>125</v>
      </c>
      <c r="F42" s="28">
        <v>1</v>
      </c>
      <c r="G42" s="28">
        <v>3</v>
      </c>
      <c r="H42" s="11">
        <f t="shared" si="0"/>
        <v>1</v>
      </c>
      <c r="I42" s="11">
        <f t="shared" si="1"/>
        <v>0</v>
      </c>
      <c r="J42" s="11">
        <f t="shared" si="2"/>
        <v>3</v>
      </c>
    </row>
    <row r="43" spans="1:10" ht="15" customHeight="1" x14ac:dyDescent="0.25">
      <c r="A43" s="8">
        <v>41</v>
      </c>
      <c r="B43" s="8" t="s">
        <v>120</v>
      </c>
      <c r="C43" s="8">
        <v>3</v>
      </c>
      <c r="D43" s="9" t="s">
        <v>118</v>
      </c>
      <c r="E43" s="9" t="s">
        <v>125</v>
      </c>
      <c r="F43" s="26">
        <v>5</v>
      </c>
      <c r="G43" s="26">
        <v>1</v>
      </c>
      <c r="H43" s="8">
        <f t="shared" si="0"/>
        <v>1</v>
      </c>
      <c r="I43" s="8">
        <f t="shared" si="1"/>
        <v>3</v>
      </c>
      <c r="J43" s="8">
        <f t="shared" si="2"/>
        <v>0</v>
      </c>
    </row>
    <row r="44" spans="1:10" ht="15" customHeight="1" x14ac:dyDescent="0.25">
      <c r="A44" s="11">
        <v>42</v>
      </c>
      <c r="B44" s="11" t="s">
        <v>120</v>
      </c>
      <c r="C44" s="11">
        <v>3</v>
      </c>
      <c r="D44" s="12" t="s">
        <v>121</v>
      </c>
      <c r="E44" s="12" t="s">
        <v>123</v>
      </c>
      <c r="F44" s="28">
        <v>1</v>
      </c>
      <c r="G44" s="28">
        <v>1</v>
      </c>
      <c r="H44" s="11">
        <f t="shared" si="0"/>
        <v>1</v>
      </c>
      <c r="I44" s="11">
        <f t="shared" si="1"/>
        <v>1</v>
      </c>
      <c r="J44" s="11">
        <f t="shared" si="2"/>
        <v>1</v>
      </c>
    </row>
    <row r="45" spans="1:10" ht="15" customHeight="1" x14ac:dyDescent="0.25">
      <c r="A45" s="8">
        <v>43</v>
      </c>
      <c r="B45" s="8" t="s">
        <v>130</v>
      </c>
      <c r="C45" s="8">
        <v>1</v>
      </c>
      <c r="D45" s="9" t="s">
        <v>128</v>
      </c>
      <c r="E45" s="9" t="s">
        <v>131</v>
      </c>
      <c r="F45" s="26">
        <v>0</v>
      </c>
      <c r="G45" s="26">
        <v>0</v>
      </c>
      <c r="H45" s="8">
        <f t="shared" si="0"/>
        <v>1</v>
      </c>
      <c r="I45" s="8">
        <f t="shared" si="1"/>
        <v>1</v>
      </c>
      <c r="J45" s="8">
        <f t="shared" si="2"/>
        <v>1</v>
      </c>
    </row>
    <row r="46" spans="1:10" ht="15" customHeight="1" x14ac:dyDescent="0.25">
      <c r="A46" s="11">
        <v>44</v>
      </c>
      <c r="B46" s="11" t="s">
        <v>130</v>
      </c>
      <c r="C46" s="11">
        <v>1</v>
      </c>
      <c r="D46" s="12" t="s">
        <v>133</v>
      </c>
      <c r="E46" s="12" t="s">
        <v>135</v>
      </c>
      <c r="F46" s="28">
        <v>1</v>
      </c>
      <c r="G46" s="28">
        <v>1</v>
      </c>
      <c r="H46" s="11">
        <f t="shared" si="0"/>
        <v>1</v>
      </c>
      <c r="I46" s="11">
        <f t="shared" si="1"/>
        <v>1</v>
      </c>
      <c r="J46" s="11">
        <f t="shared" si="2"/>
        <v>1</v>
      </c>
    </row>
    <row r="47" spans="1:10" ht="15" customHeight="1" x14ac:dyDescent="0.25">
      <c r="A47" s="8">
        <v>45</v>
      </c>
      <c r="B47" s="8" t="s">
        <v>130</v>
      </c>
      <c r="C47" s="8">
        <v>2</v>
      </c>
      <c r="D47" s="9" t="s">
        <v>128</v>
      </c>
      <c r="E47" s="9" t="s">
        <v>133</v>
      </c>
      <c r="F47" s="26">
        <v>4</v>
      </c>
      <c r="G47" s="26">
        <v>0</v>
      </c>
      <c r="H47" s="8">
        <f t="shared" si="0"/>
        <v>1</v>
      </c>
      <c r="I47" s="8">
        <f t="shared" si="1"/>
        <v>3</v>
      </c>
      <c r="J47" s="8">
        <f t="shared" si="2"/>
        <v>0</v>
      </c>
    </row>
    <row r="48" spans="1:10" ht="15" customHeight="1" x14ac:dyDescent="0.25">
      <c r="A48" s="11">
        <v>46</v>
      </c>
      <c r="B48" s="11" t="s">
        <v>130</v>
      </c>
      <c r="C48" s="11">
        <v>2</v>
      </c>
      <c r="D48" s="12" t="s">
        <v>131</v>
      </c>
      <c r="E48" s="12" t="s">
        <v>135</v>
      </c>
      <c r="F48" s="28">
        <v>2</v>
      </c>
      <c r="G48" s="28">
        <v>2</v>
      </c>
      <c r="H48" s="11">
        <f t="shared" si="0"/>
        <v>1</v>
      </c>
      <c r="I48" s="11">
        <f t="shared" si="1"/>
        <v>1</v>
      </c>
      <c r="J48" s="11">
        <f t="shared" si="2"/>
        <v>1</v>
      </c>
    </row>
    <row r="49" spans="1:10" ht="15" customHeight="1" x14ac:dyDescent="0.25">
      <c r="A49" s="8">
        <v>47</v>
      </c>
      <c r="B49" s="8" t="s">
        <v>130</v>
      </c>
      <c r="C49" s="8">
        <v>3</v>
      </c>
      <c r="D49" s="9" t="s">
        <v>128</v>
      </c>
      <c r="E49" s="9" t="s">
        <v>135</v>
      </c>
      <c r="F49" s="26">
        <v>1</v>
      </c>
      <c r="G49" s="26">
        <v>0</v>
      </c>
      <c r="H49" s="8">
        <f t="shared" si="0"/>
        <v>1</v>
      </c>
      <c r="I49" s="8">
        <f t="shared" si="1"/>
        <v>3</v>
      </c>
      <c r="J49" s="8">
        <f t="shared" si="2"/>
        <v>0</v>
      </c>
    </row>
    <row r="50" spans="1:10" ht="15" customHeight="1" x14ac:dyDescent="0.25">
      <c r="A50" s="11">
        <v>48</v>
      </c>
      <c r="B50" s="11" t="s">
        <v>130</v>
      </c>
      <c r="C50" s="11">
        <v>3</v>
      </c>
      <c r="D50" s="12" t="s">
        <v>131</v>
      </c>
      <c r="E50" s="12" t="s">
        <v>133</v>
      </c>
      <c r="F50" s="28">
        <v>0</v>
      </c>
      <c r="G50" s="28">
        <v>0</v>
      </c>
      <c r="H50" s="11">
        <f t="shared" si="0"/>
        <v>1</v>
      </c>
      <c r="I50" s="11">
        <f t="shared" si="1"/>
        <v>1</v>
      </c>
      <c r="J50" s="11">
        <f t="shared" si="2"/>
        <v>1</v>
      </c>
    </row>
    <row r="51" spans="1:10" ht="15" customHeight="1" x14ac:dyDescent="0.25">
      <c r="A51" s="8">
        <v>49</v>
      </c>
      <c r="B51" s="8" t="s">
        <v>139</v>
      </c>
      <c r="C51" s="8">
        <v>1</v>
      </c>
      <c r="D51" s="9" t="s">
        <v>137</v>
      </c>
      <c r="E51" s="9" t="s">
        <v>140</v>
      </c>
      <c r="F51" s="26">
        <v>3</v>
      </c>
      <c r="G51" s="26">
        <v>1</v>
      </c>
      <c r="H51" s="8">
        <f t="shared" si="0"/>
        <v>1</v>
      </c>
      <c r="I51" s="8">
        <f t="shared" si="1"/>
        <v>3</v>
      </c>
      <c r="J51" s="8">
        <f t="shared" si="2"/>
        <v>0</v>
      </c>
    </row>
    <row r="52" spans="1:10" ht="15" customHeight="1" x14ac:dyDescent="0.25">
      <c r="A52" s="11">
        <v>50</v>
      </c>
      <c r="B52" s="11" t="s">
        <v>139</v>
      </c>
      <c r="C52" s="11">
        <v>1</v>
      </c>
      <c r="D52" s="12" t="s">
        <v>142</v>
      </c>
      <c r="E52" s="12" t="s">
        <v>144</v>
      </c>
      <c r="F52" s="28">
        <v>1</v>
      </c>
      <c r="G52" s="28">
        <v>4</v>
      </c>
      <c r="H52" s="11">
        <f t="shared" si="0"/>
        <v>1</v>
      </c>
      <c r="I52" s="11">
        <f t="shared" si="1"/>
        <v>0</v>
      </c>
      <c r="J52" s="11">
        <f t="shared" si="2"/>
        <v>3</v>
      </c>
    </row>
    <row r="53" spans="1:10" ht="15" customHeight="1" x14ac:dyDescent="0.25">
      <c r="A53" s="8">
        <v>51</v>
      </c>
      <c r="B53" s="8" t="s">
        <v>139</v>
      </c>
      <c r="C53" s="8">
        <v>2</v>
      </c>
      <c r="D53" s="9" t="s">
        <v>137</v>
      </c>
      <c r="E53" s="9" t="s">
        <v>142</v>
      </c>
      <c r="F53" s="26">
        <v>3</v>
      </c>
      <c r="G53" s="26">
        <v>0</v>
      </c>
      <c r="H53" s="8">
        <f t="shared" si="0"/>
        <v>1</v>
      </c>
      <c r="I53" s="8">
        <f t="shared" si="1"/>
        <v>3</v>
      </c>
      <c r="J53" s="8">
        <f t="shared" si="2"/>
        <v>0</v>
      </c>
    </row>
    <row r="54" spans="1:10" ht="15" customHeight="1" x14ac:dyDescent="0.25">
      <c r="A54" s="11">
        <v>52</v>
      </c>
      <c r="B54" s="11" t="s">
        <v>139</v>
      </c>
      <c r="C54" s="11">
        <v>2</v>
      </c>
      <c r="D54" s="12" t="s">
        <v>140</v>
      </c>
      <c r="E54" s="12" t="s">
        <v>144</v>
      </c>
      <c r="F54" s="28">
        <v>2</v>
      </c>
      <c r="G54" s="28">
        <v>3</v>
      </c>
      <c r="H54" s="11">
        <f t="shared" si="0"/>
        <v>1</v>
      </c>
      <c r="I54" s="11">
        <f t="shared" si="1"/>
        <v>0</v>
      </c>
      <c r="J54" s="11">
        <f t="shared" si="2"/>
        <v>3</v>
      </c>
    </row>
    <row r="55" spans="1:10" ht="15" customHeight="1" x14ac:dyDescent="0.25">
      <c r="A55" s="8">
        <v>53</v>
      </c>
      <c r="B55" s="8" t="s">
        <v>139</v>
      </c>
      <c r="C55" s="8">
        <v>3</v>
      </c>
      <c r="D55" s="9" t="s">
        <v>137</v>
      </c>
      <c r="E55" s="9" t="s">
        <v>144</v>
      </c>
      <c r="F55" s="26">
        <v>4</v>
      </c>
      <c r="G55" s="26">
        <v>1</v>
      </c>
      <c r="H55" s="8">
        <f t="shared" si="0"/>
        <v>1</v>
      </c>
      <c r="I55" s="8">
        <f t="shared" si="1"/>
        <v>3</v>
      </c>
      <c r="J55" s="8">
        <f t="shared" si="2"/>
        <v>0</v>
      </c>
    </row>
    <row r="56" spans="1:10" ht="15" customHeight="1" x14ac:dyDescent="0.25">
      <c r="A56" s="11">
        <v>54</v>
      </c>
      <c r="B56" s="11" t="s">
        <v>139</v>
      </c>
      <c r="C56" s="11">
        <v>3</v>
      </c>
      <c r="D56" s="12" t="s">
        <v>140</v>
      </c>
      <c r="E56" s="12" t="s">
        <v>142</v>
      </c>
      <c r="F56" s="28">
        <v>5</v>
      </c>
      <c r="G56" s="28">
        <v>0</v>
      </c>
      <c r="H56" s="11">
        <f t="shared" si="0"/>
        <v>1</v>
      </c>
      <c r="I56" s="11">
        <f t="shared" si="1"/>
        <v>3</v>
      </c>
      <c r="J56" s="11">
        <f t="shared" si="2"/>
        <v>0</v>
      </c>
    </row>
    <row r="57" spans="1:10" ht="15" customHeight="1" x14ac:dyDescent="0.25">
      <c r="A57" s="8">
        <v>55</v>
      </c>
      <c r="B57" s="8" t="s">
        <v>148</v>
      </c>
      <c r="C57" s="8">
        <v>1</v>
      </c>
      <c r="D57" s="9" t="s">
        <v>146</v>
      </c>
      <c r="E57" s="9" t="s">
        <v>149</v>
      </c>
      <c r="F57" s="26">
        <v>3</v>
      </c>
      <c r="G57" s="26">
        <v>0</v>
      </c>
      <c r="H57" s="8">
        <f t="shared" si="0"/>
        <v>1</v>
      </c>
      <c r="I57" s="8">
        <f t="shared" si="1"/>
        <v>3</v>
      </c>
      <c r="J57" s="8">
        <f t="shared" si="2"/>
        <v>0</v>
      </c>
    </row>
    <row r="58" spans="1:10" ht="15" customHeight="1" x14ac:dyDescent="0.25">
      <c r="A58" s="11">
        <v>56</v>
      </c>
      <c r="B58" s="11" t="s">
        <v>148</v>
      </c>
      <c r="C58" s="11">
        <v>1</v>
      </c>
      <c r="D58" s="12" t="s">
        <v>151</v>
      </c>
      <c r="E58" s="12" t="s">
        <v>153</v>
      </c>
      <c r="F58" s="28">
        <v>3</v>
      </c>
      <c r="G58" s="28">
        <v>1</v>
      </c>
      <c r="H58" s="11">
        <f t="shared" si="0"/>
        <v>1</v>
      </c>
      <c r="I58" s="11">
        <f t="shared" si="1"/>
        <v>3</v>
      </c>
      <c r="J58" s="11">
        <f t="shared" si="2"/>
        <v>0</v>
      </c>
    </row>
    <row r="59" spans="1:10" ht="15" customHeight="1" x14ac:dyDescent="0.25">
      <c r="A59" s="8">
        <v>57</v>
      </c>
      <c r="B59" s="8" t="s">
        <v>148</v>
      </c>
      <c r="C59" s="8">
        <v>2</v>
      </c>
      <c r="D59" s="9" t="s">
        <v>146</v>
      </c>
      <c r="E59" s="9" t="s">
        <v>151</v>
      </c>
      <c r="F59" s="26">
        <v>2</v>
      </c>
      <c r="G59" s="26">
        <v>0</v>
      </c>
      <c r="H59" s="8">
        <f t="shared" si="0"/>
        <v>1</v>
      </c>
      <c r="I59" s="8">
        <f t="shared" si="1"/>
        <v>3</v>
      </c>
      <c r="J59" s="8">
        <f t="shared" si="2"/>
        <v>0</v>
      </c>
    </row>
    <row r="60" spans="1:10" ht="15" customHeight="1" x14ac:dyDescent="0.25">
      <c r="A60" s="11">
        <v>58</v>
      </c>
      <c r="B60" s="11" t="s">
        <v>148</v>
      </c>
      <c r="C60" s="11">
        <v>2</v>
      </c>
      <c r="D60" s="12" t="s">
        <v>149</v>
      </c>
      <c r="E60" s="12" t="s">
        <v>153</v>
      </c>
      <c r="F60" s="28">
        <v>2</v>
      </c>
      <c r="G60" s="28">
        <v>1</v>
      </c>
      <c r="H60" s="11">
        <f t="shared" si="0"/>
        <v>1</v>
      </c>
      <c r="I60" s="11">
        <f t="shared" si="1"/>
        <v>3</v>
      </c>
      <c r="J60" s="11">
        <f t="shared" si="2"/>
        <v>0</v>
      </c>
    </row>
    <row r="61" spans="1:10" ht="15" customHeight="1" x14ac:dyDescent="0.25">
      <c r="A61" s="8">
        <v>59</v>
      </c>
      <c r="B61" s="8" t="s">
        <v>148</v>
      </c>
      <c r="C61" s="8">
        <v>3</v>
      </c>
      <c r="D61" s="9" t="s">
        <v>146</v>
      </c>
      <c r="E61" s="9" t="s">
        <v>153</v>
      </c>
      <c r="F61" s="26">
        <v>3</v>
      </c>
      <c r="G61" s="26">
        <v>1</v>
      </c>
      <c r="H61" s="8">
        <f t="shared" si="0"/>
        <v>1</v>
      </c>
      <c r="I61" s="8">
        <f t="shared" si="1"/>
        <v>3</v>
      </c>
      <c r="J61" s="8">
        <f t="shared" si="2"/>
        <v>0</v>
      </c>
    </row>
    <row r="62" spans="1:10" ht="15" customHeight="1" x14ac:dyDescent="0.25">
      <c r="A62" s="11">
        <v>60</v>
      </c>
      <c r="B62" s="11" t="s">
        <v>148</v>
      </c>
      <c r="C62" s="11">
        <v>3</v>
      </c>
      <c r="D62" s="12" t="s">
        <v>149</v>
      </c>
      <c r="E62" s="12" t="s">
        <v>151</v>
      </c>
      <c r="F62" s="28">
        <v>3</v>
      </c>
      <c r="G62" s="28">
        <v>3</v>
      </c>
      <c r="H62" s="11">
        <f t="shared" si="0"/>
        <v>1</v>
      </c>
      <c r="I62" s="11">
        <f t="shared" si="1"/>
        <v>1</v>
      </c>
      <c r="J62" s="11">
        <f t="shared" si="2"/>
        <v>1</v>
      </c>
    </row>
    <row r="63" spans="1:10" ht="15" customHeight="1" x14ac:dyDescent="0.25">
      <c r="A63" s="8">
        <v>61</v>
      </c>
      <c r="B63" s="8" t="s">
        <v>157</v>
      </c>
      <c r="C63" s="8">
        <v>1</v>
      </c>
      <c r="D63" s="9" t="s">
        <v>155</v>
      </c>
      <c r="E63" s="9" t="s">
        <v>158</v>
      </c>
      <c r="F63" s="26">
        <v>1</v>
      </c>
      <c r="G63" s="26">
        <v>1</v>
      </c>
      <c r="H63" s="8">
        <f t="shared" si="0"/>
        <v>1</v>
      </c>
      <c r="I63" s="8">
        <f t="shared" si="1"/>
        <v>1</v>
      </c>
      <c r="J63" s="8">
        <f t="shared" si="2"/>
        <v>1</v>
      </c>
    </row>
    <row r="64" spans="1:10" ht="15" customHeight="1" x14ac:dyDescent="0.25">
      <c r="A64" s="11">
        <v>62</v>
      </c>
      <c r="B64" s="11" t="s">
        <v>157</v>
      </c>
      <c r="C64" s="11">
        <v>1</v>
      </c>
      <c r="D64" s="12" t="s">
        <v>160</v>
      </c>
      <c r="E64" s="12" t="s">
        <v>162</v>
      </c>
      <c r="F64" s="28">
        <v>1</v>
      </c>
      <c r="G64" s="28">
        <v>3</v>
      </c>
      <c r="H64" s="11">
        <f t="shared" si="0"/>
        <v>1</v>
      </c>
      <c r="I64" s="11">
        <f t="shared" si="1"/>
        <v>0</v>
      </c>
      <c r="J64" s="11">
        <f t="shared" si="2"/>
        <v>3</v>
      </c>
    </row>
    <row r="65" spans="1:10" ht="15" customHeight="1" x14ac:dyDescent="0.25">
      <c r="A65" s="8">
        <v>63</v>
      </c>
      <c r="B65" s="8" t="s">
        <v>157</v>
      </c>
      <c r="C65" s="8">
        <v>2</v>
      </c>
      <c r="D65" s="9" t="s">
        <v>155</v>
      </c>
      <c r="E65" s="9" t="s">
        <v>160</v>
      </c>
      <c r="F65" s="26">
        <v>5</v>
      </c>
      <c r="G65" s="26">
        <v>0</v>
      </c>
      <c r="H65" s="8">
        <f t="shared" si="0"/>
        <v>1</v>
      </c>
      <c r="I65" s="8">
        <f t="shared" si="1"/>
        <v>3</v>
      </c>
      <c r="J65" s="8">
        <f t="shared" si="2"/>
        <v>0</v>
      </c>
    </row>
    <row r="66" spans="1:10" ht="15" customHeight="1" x14ac:dyDescent="0.25">
      <c r="A66" s="11">
        <v>64</v>
      </c>
      <c r="B66" s="11" t="s">
        <v>157</v>
      </c>
      <c r="C66" s="11">
        <v>2</v>
      </c>
      <c r="D66" s="12" t="s">
        <v>158</v>
      </c>
      <c r="E66" s="12" t="s">
        <v>162</v>
      </c>
      <c r="F66" s="28">
        <v>0</v>
      </c>
      <c r="G66" s="28">
        <v>1</v>
      </c>
      <c r="H66" s="11">
        <f t="shared" si="0"/>
        <v>1</v>
      </c>
      <c r="I66" s="11">
        <f t="shared" si="1"/>
        <v>0</v>
      </c>
      <c r="J66" s="11">
        <f t="shared" si="2"/>
        <v>3</v>
      </c>
    </row>
    <row r="67" spans="1:10" ht="15" customHeight="1" x14ac:dyDescent="0.25">
      <c r="A67" s="8">
        <v>65</v>
      </c>
      <c r="B67" s="8" t="s">
        <v>157</v>
      </c>
      <c r="C67" s="8">
        <v>3</v>
      </c>
      <c r="D67" s="9" t="s">
        <v>155</v>
      </c>
      <c r="E67" s="9" t="s">
        <v>162</v>
      </c>
      <c r="F67" s="26">
        <v>0</v>
      </c>
      <c r="G67" s="26">
        <v>0</v>
      </c>
      <c r="H67" s="8">
        <f t="shared" si="0"/>
        <v>1</v>
      </c>
      <c r="I67" s="8">
        <f t="shared" si="1"/>
        <v>1</v>
      </c>
      <c r="J67" s="8">
        <f t="shared" si="2"/>
        <v>1</v>
      </c>
    </row>
    <row r="68" spans="1:10" ht="15" customHeight="1" x14ac:dyDescent="0.25">
      <c r="A68" s="11">
        <v>66</v>
      </c>
      <c r="B68" s="11" t="s">
        <v>157</v>
      </c>
      <c r="C68" s="11">
        <v>3</v>
      </c>
      <c r="D68" s="12" t="s">
        <v>158</v>
      </c>
      <c r="E68" s="12" t="s">
        <v>160</v>
      </c>
      <c r="F68" s="28">
        <v>3</v>
      </c>
      <c r="G68" s="28">
        <v>1</v>
      </c>
      <c r="H68" s="11">
        <f t="shared" si="0"/>
        <v>1</v>
      </c>
      <c r="I68" s="11">
        <f t="shared" si="1"/>
        <v>3</v>
      </c>
      <c r="J68" s="11">
        <f t="shared" si="2"/>
        <v>0</v>
      </c>
    </row>
    <row r="69" spans="1:10" ht="15" customHeight="1" x14ac:dyDescent="0.25">
      <c r="A69" s="8">
        <v>67</v>
      </c>
      <c r="B69" s="8" t="s">
        <v>166</v>
      </c>
      <c r="C69" s="8">
        <v>1</v>
      </c>
      <c r="D69" s="9" t="s">
        <v>164</v>
      </c>
      <c r="E69" s="9" t="s">
        <v>167</v>
      </c>
      <c r="F69" s="26">
        <v>4</v>
      </c>
      <c r="G69" s="26">
        <v>2</v>
      </c>
      <c r="H69" s="8">
        <f t="shared" si="0"/>
        <v>1</v>
      </c>
      <c r="I69" s="8">
        <f t="shared" si="1"/>
        <v>3</v>
      </c>
      <c r="J69" s="8">
        <f t="shared" si="2"/>
        <v>0</v>
      </c>
    </row>
    <row r="70" spans="1:10" ht="15" customHeight="1" x14ac:dyDescent="0.25">
      <c r="A70" s="11">
        <v>68</v>
      </c>
      <c r="B70" s="11" t="s">
        <v>166</v>
      </c>
      <c r="C70" s="11">
        <v>1</v>
      </c>
      <c r="D70" s="12" t="s">
        <v>169</v>
      </c>
      <c r="E70" s="12" t="s">
        <v>171</v>
      </c>
      <c r="F70" s="28">
        <v>1</v>
      </c>
      <c r="G70" s="28">
        <v>0</v>
      </c>
      <c r="H70" s="11">
        <f t="shared" si="0"/>
        <v>1</v>
      </c>
      <c r="I70" s="11">
        <f t="shared" si="1"/>
        <v>3</v>
      </c>
      <c r="J70" s="11">
        <f t="shared" si="2"/>
        <v>0</v>
      </c>
    </row>
    <row r="71" spans="1:10" ht="15" customHeight="1" x14ac:dyDescent="0.25">
      <c r="A71" s="8">
        <v>69</v>
      </c>
      <c r="B71" s="8" t="s">
        <v>166</v>
      </c>
      <c r="C71" s="8">
        <v>2</v>
      </c>
      <c r="D71" s="9" t="s">
        <v>164</v>
      </c>
      <c r="E71" s="9" t="s">
        <v>169</v>
      </c>
      <c r="F71" s="26">
        <v>0</v>
      </c>
      <c r="G71" s="26">
        <v>0</v>
      </c>
      <c r="H71" s="8">
        <f t="shared" si="0"/>
        <v>1</v>
      </c>
      <c r="I71" s="8">
        <f t="shared" si="1"/>
        <v>1</v>
      </c>
      <c r="J71" s="8">
        <f t="shared" si="2"/>
        <v>1</v>
      </c>
    </row>
    <row r="72" spans="1:10" ht="15" customHeight="1" x14ac:dyDescent="0.25">
      <c r="A72" s="11">
        <v>70</v>
      </c>
      <c r="B72" s="11" t="s">
        <v>166</v>
      </c>
      <c r="C72" s="11">
        <v>2</v>
      </c>
      <c r="D72" s="12" t="s">
        <v>167</v>
      </c>
      <c r="E72" s="12" t="s">
        <v>171</v>
      </c>
      <c r="F72" s="28">
        <v>1</v>
      </c>
      <c r="G72" s="28">
        <v>0</v>
      </c>
      <c r="H72" s="11">
        <f t="shared" si="0"/>
        <v>1</v>
      </c>
      <c r="I72" s="11">
        <f t="shared" si="1"/>
        <v>3</v>
      </c>
      <c r="J72" s="11">
        <f t="shared" si="2"/>
        <v>0</v>
      </c>
    </row>
    <row r="73" spans="1:10" ht="15" customHeight="1" x14ac:dyDescent="0.25">
      <c r="A73" s="8">
        <v>71</v>
      </c>
      <c r="B73" s="8" t="s">
        <v>166</v>
      </c>
      <c r="C73" s="8">
        <v>3</v>
      </c>
      <c r="D73" s="9" t="s">
        <v>164</v>
      </c>
      <c r="E73" s="9" t="s">
        <v>171</v>
      </c>
      <c r="F73" s="26">
        <v>2</v>
      </c>
      <c r="G73" s="26">
        <v>0</v>
      </c>
      <c r="H73" s="8">
        <f t="shared" si="0"/>
        <v>1</v>
      </c>
      <c r="I73" s="8">
        <f t="shared" si="1"/>
        <v>3</v>
      </c>
      <c r="J73" s="8">
        <f t="shared" si="2"/>
        <v>0</v>
      </c>
    </row>
    <row r="74" spans="1:10" ht="15" customHeight="1" x14ac:dyDescent="0.25">
      <c r="A74" s="11">
        <v>72</v>
      </c>
      <c r="B74" s="11" t="s">
        <v>166</v>
      </c>
      <c r="C74" s="11">
        <v>3</v>
      </c>
      <c r="D74" s="12" t="s">
        <v>167</v>
      </c>
      <c r="E74" s="12" t="s">
        <v>169</v>
      </c>
      <c r="F74" s="28">
        <v>2</v>
      </c>
      <c r="G74" s="28">
        <v>1</v>
      </c>
      <c r="H74" s="11">
        <f t="shared" si="0"/>
        <v>1</v>
      </c>
      <c r="I74" s="11">
        <f t="shared" si="1"/>
        <v>3</v>
      </c>
      <c r="J74" s="11">
        <f t="shared" si="2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2" t="s">
        <v>396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4"/>
    </row>
    <row r="2" spans="1:12" ht="15" customHeight="1" x14ac:dyDescent="0.25">
      <c r="A2" s="7" t="s">
        <v>49</v>
      </c>
      <c r="B2" s="7" t="s">
        <v>397</v>
      </c>
      <c r="C2" s="7" t="s">
        <v>47</v>
      </c>
      <c r="D2" s="7" t="s">
        <v>182</v>
      </c>
      <c r="E2" s="7" t="s">
        <v>183</v>
      </c>
      <c r="F2" s="7" t="s">
        <v>184</v>
      </c>
      <c r="G2" s="7" t="s">
        <v>185</v>
      </c>
      <c r="H2" s="7" t="s">
        <v>186</v>
      </c>
      <c r="I2" s="7" t="s">
        <v>187</v>
      </c>
      <c r="J2" s="7" t="s">
        <v>188</v>
      </c>
      <c r="K2" s="7" t="s">
        <v>370</v>
      </c>
      <c r="L2" s="7" t="s">
        <v>398</v>
      </c>
    </row>
    <row r="3" spans="1:12" ht="15" customHeight="1" x14ac:dyDescent="0.25">
      <c r="A3" s="8" t="s">
        <v>59</v>
      </c>
      <c r="B3" s="8">
        <v>1</v>
      </c>
      <c r="C3" s="29" t="s">
        <v>57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 t="shared" ref="L3:L6" si="2">SUMPRODUCT(--(($K$3:$K$6*1000+$J$3:$J$6*10+$H$3:$H$6)&gt;($K3*1000+$J3*10+$H3)))+1</f>
        <v>1</v>
      </c>
    </row>
    <row r="4" spans="1:12" ht="15" customHeight="1" x14ac:dyDescent="0.25">
      <c r="A4" s="8" t="s">
        <v>59</v>
      </c>
      <c r="B4" s="8">
        <v>2</v>
      </c>
      <c r="C4" s="29" t="s">
        <v>63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 t="shared" si="2"/>
        <v>2</v>
      </c>
    </row>
    <row r="5" spans="1:12" ht="15" customHeight="1" x14ac:dyDescent="0.25">
      <c r="A5" s="8" t="s">
        <v>59</v>
      </c>
      <c r="B5" s="8">
        <v>3</v>
      </c>
      <c r="C5" s="29" t="s">
        <v>66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 t="shared" si="2"/>
        <v>3</v>
      </c>
    </row>
    <row r="6" spans="1:12" ht="15" customHeight="1" x14ac:dyDescent="0.25">
      <c r="A6" s="8" t="s">
        <v>59</v>
      </c>
      <c r="B6" s="8">
        <v>4</v>
      </c>
      <c r="C6" s="29" t="s">
        <v>69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 t="shared" si="2"/>
        <v>4</v>
      </c>
    </row>
    <row r="7" spans="1:12" ht="15" customHeight="1" x14ac:dyDescent="0.25">
      <c r="A7" s="11" t="s">
        <v>74</v>
      </c>
      <c r="B7" s="11">
        <v>1</v>
      </c>
      <c r="C7" s="30" t="s">
        <v>72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 t="shared" ref="L7:L10" si="3">SUMPRODUCT(--(($K$7:$K$10*1000+$J$7:$J$10*10+$H$7:$H$10)&gt;($K7*1000+$J7*10+$H7)))+1</f>
        <v>2</v>
      </c>
    </row>
    <row r="8" spans="1:12" ht="15" customHeight="1" x14ac:dyDescent="0.25">
      <c r="A8" s="11" t="s">
        <v>74</v>
      </c>
      <c r="B8" s="11">
        <v>2</v>
      </c>
      <c r="C8" s="30" t="s">
        <v>75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 t="shared" si="3"/>
        <v>3</v>
      </c>
    </row>
    <row r="9" spans="1:12" ht="15" customHeight="1" x14ac:dyDescent="0.25">
      <c r="A9" s="11" t="s">
        <v>74</v>
      </c>
      <c r="B9" s="11">
        <v>3</v>
      </c>
      <c r="C9" s="30" t="s">
        <v>77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 t="shared" si="3"/>
        <v>4</v>
      </c>
    </row>
    <row r="10" spans="1:12" ht="15" customHeight="1" x14ac:dyDescent="0.25">
      <c r="A10" s="11" t="s">
        <v>74</v>
      </c>
      <c r="B10" s="11">
        <v>4</v>
      </c>
      <c r="C10" s="30" t="s">
        <v>79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 t="shared" si="3"/>
        <v>1</v>
      </c>
    </row>
    <row r="11" spans="1:12" ht="15" customHeight="1" x14ac:dyDescent="0.25">
      <c r="A11" s="8" t="s">
        <v>83</v>
      </c>
      <c r="B11" s="8">
        <v>1</v>
      </c>
      <c r="C11" s="29" t="s">
        <v>81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 t="shared" ref="L11:L14" si="4">SUMPRODUCT(--(($K$11:$K$14*1000+$J$11:$J$14*10+$H$11:$H$14)&gt;($K11*1000+$J11*10+$H11)))+1</f>
        <v>1</v>
      </c>
    </row>
    <row r="12" spans="1:12" ht="15" customHeight="1" x14ac:dyDescent="0.25">
      <c r="A12" s="8" t="s">
        <v>83</v>
      </c>
      <c r="B12" s="8">
        <v>2</v>
      </c>
      <c r="C12" s="29" t="s">
        <v>85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 t="shared" si="4"/>
        <v>2</v>
      </c>
    </row>
    <row r="13" spans="1:12" ht="15" customHeight="1" x14ac:dyDescent="0.25">
      <c r="A13" s="8" t="s">
        <v>83</v>
      </c>
      <c r="B13" s="8">
        <v>3</v>
      </c>
      <c r="C13" s="29" t="s">
        <v>87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 t="shared" si="4"/>
        <v>4</v>
      </c>
    </row>
    <row r="14" spans="1:12" ht="15" customHeight="1" x14ac:dyDescent="0.25">
      <c r="A14" s="8" t="s">
        <v>83</v>
      </c>
      <c r="B14" s="8">
        <v>4</v>
      </c>
      <c r="C14" s="29" t="s">
        <v>89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 t="shared" si="4"/>
        <v>3</v>
      </c>
    </row>
    <row r="15" spans="1:12" ht="15" customHeight="1" x14ac:dyDescent="0.25">
      <c r="A15" s="11" t="s">
        <v>93</v>
      </c>
      <c r="B15" s="11">
        <v>1</v>
      </c>
      <c r="C15" s="30" t="s">
        <v>91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 t="shared" ref="L15:L18" si="5">SUMPRODUCT(--(($K$15:$K$18*1000+$J$15:$J$18*10+$H$15:$H$18)&gt;($K15*1000+$J15*10+$H15)))+1</f>
        <v>1</v>
      </c>
    </row>
    <row r="16" spans="1:12" ht="15" customHeight="1" x14ac:dyDescent="0.25">
      <c r="A16" s="11" t="s">
        <v>93</v>
      </c>
      <c r="B16" s="11">
        <v>2</v>
      </c>
      <c r="C16" s="30" t="s">
        <v>94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 t="shared" si="5"/>
        <v>3</v>
      </c>
    </row>
    <row r="17" spans="1:12" ht="15" customHeight="1" x14ac:dyDescent="0.25">
      <c r="A17" s="11" t="s">
        <v>93</v>
      </c>
      <c r="B17" s="11">
        <v>3</v>
      </c>
      <c r="C17" s="30" t="s">
        <v>96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 t="shared" si="5"/>
        <v>2</v>
      </c>
    </row>
    <row r="18" spans="1:12" ht="15" customHeight="1" x14ac:dyDescent="0.25">
      <c r="A18" s="11" t="s">
        <v>93</v>
      </c>
      <c r="B18" s="11">
        <v>4</v>
      </c>
      <c r="C18" s="30" t="s">
        <v>98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 t="shared" si="5"/>
        <v>4</v>
      </c>
    </row>
    <row r="19" spans="1:12" ht="15" customHeight="1" x14ac:dyDescent="0.25">
      <c r="A19" s="8" t="s">
        <v>102</v>
      </c>
      <c r="B19" s="8">
        <v>1</v>
      </c>
      <c r="C19" s="29" t="s">
        <v>100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 t="shared" ref="L19:L22" si="6">SUMPRODUCT(--(($K$19:$K$22*1000+$J$19:$J$22*10+$H$19:$H$22)&gt;($K19*1000+$J19*10+$H19)))+1</f>
        <v>1</v>
      </c>
    </row>
    <row r="20" spans="1:12" ht="15" customHeight="1" x14ac:dyDescent="0.25">
      <c r="A20" s="8" t="s">
        <v>102</v>
      </c>
      <c r="B20" s="8">
        <v>2</v>
      </c>
      <c r="C20" s="29" t="s">
        <v>103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 t="shared" si="6"/>
        <v>4</v>
      </c>
    </row>
    <row r="21" spans="1:12" ht="15" customHeight="1" x14ac:dyDescent="0.25">
      <c r="A21" s="8" t="s">
        <v>102</v>
      </c>
      <c r="B21" s="8">
        <v>3</v>
      </c>
      <c r="C21" s="29" t="s">
        <v>105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 t="shared" si="6"/>
        <v>2</v>
      </c>
    </row>
    <row r="22" spans="1:12" ht="15" customHeight="1" x14ac:dyDescent="0.25">
      <c r="A22" s="8" t="s">
        <v>102</v>
      </c>
      <c r="B22" s="8">
        <v>4</v>
      </c>
      <c r="C22" s="29" t="s">
        <v>107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 t="shared" si="6"/>
        <v>3</v>
      </c>
    </row>
    <row r="23" spans="1:12" ht="15" customHeight="1" x14ac:dyDescent="0.25">
      <c r="A23" s="11" t="s">
        <v>111</v>
      </c>
      <c r="B23" s="11">
        <v>1</v>
      </c>
      <c r="C23" s="30" t="s">
        <v>109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 t="shared" ref="L23:L26" si="7">SUMPRODUCT(--(($K$23:$K$26*1000+$J$23:$J$26*10+$H$23:$H$26)&gt;($K23*1000+$J23*10+$H23)))+1</f>
        <v>1</v>
      </c>
    </row>
    <row r="24" spans="1:12" ht="15" customHeight="1" x14ac:dyDescent="0.25">
      <c r="A24" s="11" t="s">
        <v>111</v>
      </c>
      <c r="B24" s="11">
        <v>2</v>
      </c>
      <c r="C24" s="30" t="s">
        <v>112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 t="shared" si="7"/>
        <v>2</v>
      </c>
    </row>
    <row r="25" spans="1:12" ht="15" customHeight="1" x14ac:dyDescent="0.25">
      <c r="A25" s="11" t="s">
        <v>111</v>
      </c>
      <c r="B25" s="11">
        <v>3</v>
      </c>
      <c r="C25" s="30" t="s">
        <v>114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 t="shared" si="7"/>
        <v>3</v>
      </c>
    </row>
    <row r="26" spans="1:12" ht="15" customHeight="1" x14ac:dyDescent="0.25">
      <c r="A26" s="11" t="s">
        <v>111</v>
      </c>
      <c r="B26" s="11">
        <v>4</v>
      </c>
      <c r="C26" s="30" t="s">
        <v>116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 t="shared" si="7"/>
        <v>4</v>
      </c>
    </row>
    <row r="27" spans="1:12" ht="15" customHeight="1" x14ac:dyDescent="0.25">
      <c r="A27" s="8" t="s">
        <v>120</v>
      </c>
      <c r="B27" s="8">
        <v>1</v>
      </c>
      <c r="C27" s="29" t="s">
        <v>118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 t="shared" ref="L27:L30" si="8">SUMPRODUCT(--(($K$27:$K$30*1000+$J$27:$J$30*10+$H$27:$H$30)&gt;($K27*1000+$J27*10+$H27)))+1</f>
        <v>1</v>
      </c>
    </row>
    <row r="28" spans="1:12" ht="15" customHeight="1" x14ac:dyDescent="0.25">
      <c r="A28" s="8" t="s">
        <v>120</v>
      </c>
      <c r="B28" s="8">
        <v>2</v>
      </c>
      <c r="C28" s="29" t="s">
        <v>121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0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1</v>
      </c>
      <c r="H28" s="8">
        <f>SUMPRODUCT((Fixture_Grupos!$D$3:$D$74=$C28)*Fixture_Grupos!$H$3:$H$74*Fixture_Grupos!$F$3:$F$74)+SUMPRODUCT((Fixture_Grupos!$E$3:$E$74=$C28)*Fixture_Grupos!$H$3:$H$74*Fixture_Grupos!$G$3:$G$74)</f>
        <v>3</v>
      </c>
      <c r="I28" s="8">
        <f>SUMPRODUCT((Fixture_Grupos!$D$3:$D$74=$C28)*Fixture_Grupos!$H$3:$H$74*Fixture_Grupos!$G$3:$G$74)+SUMPRODUCT((Fixture_Grupos!$E$3:$E$74=$C28)*Fixture_Grupos!$H$3:$H$74*Fixture_Grupos!$F$3:$F$74)</f>
        <v>5</v>
      </c>
      <c r="J28" s="8">
        <f t="shared" si="0"/>
        <v>-2</v>
      </c>
      <c r="K28" s="8">
        <f t="shared" si="1"/>
        <v>2</v>
      </c>
      <c r="L28" s="8">
        <f t="shared" si="8"/>
        <v>4</v>
      </c>
    </row>
    <row r="29" spans="1:12" ht="15" customHeight="1" x14ac:dyDescent="0.25">
      <c r="A29" s="8" t="s">
        <v>120</v>
      </c>
      <c r="B29" s="8">
        <v>3</v>
      </c>
      <c r="C29" s="29" t="s">
        <v>123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 t="shared" si="8"/>
        <v>3</v>
      </c>
    </row>
    <row r="30" spans="1:12" ht="15" customHeight="1" x14ac:dyDescent="0.25">
      <c r="A30" s="8" t="s">
        <v>120</v>
      </c>
      <c r="B30" s="8">
        <v>4</v>
      </c>
      <c r="C30" s="29" t="s">
        <v>125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1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1</v>
      </c>
      <c r="H30" s="8">
        <f>SUMPRODUCT((Fixture_Grupos!$D$3:$D$74=$C30)*Fixture_Grupos!$H$3:$H$74*Fixture_Grupos!$F$3:$F$74)+SUMPRODUCT((Fixture_Grupos!$E$3:$E$74=$C30)*Fixture_Grupos!$H$3:$H$74*Fixture_Grupos!$G$3:$G$74)</f>
        <v>6</v>
      </c>
      <c r="I30" s="8">
        <f>SUMPRODUCT((Fixture_Grupos!$D$3:$D$74=$C30)*Fixture_Grupos!$H$3:$H$74*Fixture_Grupos!$G$3:$G$74)+SUMPRODUCT((Fixture_Grupos!$E$3:$E$74=$C30)*Fixture_Grupos!$H$3:$H$74*Fixture_Grupos!$F$3:$F$74)</f>
        <v>8</v>
      </c>
      <c r="J30" s="8">
        <f t="shared" si="0"/>
        <v>-2</v>
      </c>
      <c r="K30" s="8">
        <f t="shared" si="1"/>
        <v>4</v>
      </c>
      <c r="L30" s="8">
        <f t="shared" si="8"/>
        <v>2</v>
      </c>
    </row>
    <row r="31" spans="1:12" ht="15" customHeight="1" x14ac:dyDescent="0.25">
      <c r="A31" s="11" t="s">
        <v>130</v>
      </c>
      <c r="B31" s="11">
        <v>1</v>
      </c>
      <c r="C31" s="30" t="s">
        <v>128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 t="shared" ref="L31:L34" si="9">SUMPRODUCT(--(($K$31:$K$34*1000+$J$31:$J$34*10+$H$31:$H$34)&gt;($K31*1000+$J31*10+$H31)))+1</f>
        <v>1</v>
      </c>
    </row>
    <row r="32" spans="1:12" ht="15" customHeight="1" x14ac:dyDescent="0.25">
      <c r="A32" s="11" t="s">
        <v>130</v>
      </c>
      <c r="B32" s="11">
        <v>2</v>
      </c>
      <c r="C32" s="30" t="s">
        <v>131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 t="shared" si="9"/>
        <v>2</v>
      </c>
    </row>
    <row r="33" spans="1:12" ht="15" customHeight="1" x14ac:dyDescent="0.25">
      <c r="A33" s="11" t="s">
        <v>130</v>
      </c>
      <c r="B33" s="11">
        <v>3</v>
      </c>
      <c r="C33" s="30" t="s">
        <v>133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 t="shared" si="9"/>
        <v>4</v>
      </c>
    </row>
    <row r="34" spans="1:12" ht="15" customHeight="1" x14ac:dyDescent="0.25">
      <c r="A34" s="11" t="s">
        <v>130</v>
      </c>
      <c r="B34" s="11">
        <v>4</v>
      </c>
      <c r="C34" s="30" t="s">
        <v>135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 t="shared" si="9"/>
        <v>3</v>
      </c>
    </row>
    <row r="35" spans="1:12" ht="15" customHeight="1" x14ac:dyDescent="0.25">
      <c r="A35" s="8" t="s">
        <v>139</v>
      </c>
      <c r="B35" s="8">
        <v>1</v>
      </c>
      <c r="C35" s="29" t="s">
        <v>137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 t="shared" ref="L35:L38" si="10">SUMPRODUCT(--(($K$35:$K$38*1000+$J$35:$J$38*10+$H$35:$H$38)&gt;($K35*1000+$J35*10+$H35)))+1</f>
        <v>1</v>
      </c>
    </row>
    <row r="36" spans="1:12" ht="15" customHeight="1" x14ac:dyDescent="0.25">
      <c r="A36" s="8" t="s">
        <v>139</v>
      </c>
      <c r="B36" s="8">
        <v>2</v>
      </c>
      <c r="C36" s="29" t="s">
        <v>140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 t="shared" si="10"/>
        <v>3</v>
      </c>
    </row>
    <row r="37" spans="1:12" ht="15" customHeight="1" x14ac:dyDescent="0.25">
      <c r="A37" s="8" t="s">
        <v>139</v>
      </c>
      <c r="B37" s="8">
        <v>3</v>
      </c>
      <c r="C37" s="29" t="s">
        <v>142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 t="shared" si="10"/>
        <v>4</v>
      </c>
    </row>
    <row r="38" spans="1:12" ht="15" customHeight="1" x14ac:dyDescent="0.25">
      <c r="A38" s="8" t="s">
        <v>139</v>
      </c>
      <c r="B38" s="8">
        <v>4</v>
      </c>
      <c r="C38" s="29" t="s">
        <v>144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 t="shared" si="10"/>
        <v>2</v>
      </c>
    </row>
    <row r="39" spans="1:12" ht="15" customHeight="1" x14ac:dyDescent="0.25">
      <c r="A39" s="11" t="s">
        <v>148</v>
      </c>
      <c r="B39" s="11">
        <v>1</v>
      </c>
      <c r="C39" s="30" t="s">
        <v>146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 t="shared" ref="L39:L42" si="11">SUMPRODUCT(--(($K$39:$K$42*1000+$J$39:$J$42*10+$H$39:$H$42)&gt;($K39*1000+$J39*10+$H39)))+1</f>
        <v>1</v>
      </c>
    </row>
    <row r="40" spans="1:12" ht="15" customHeight="1" x14ac:dyDescent="0.25">
      <c r="A40" s="11" t="s">
        <v>148</v>
      </c>
      <c r="B40" s="11">
        <v>2</v>
      </c>
      <c r="C40" s="30" t="s">
        <v>149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 t="shared" si="11"/>
        <v>3</v>
      </c>
    </row>
    <row r="41" spans="1:12" ht="15" customHeight="1" x14ac:dyDescent="0.25">
      <c r="A41" s="11" t="s">
        <v>148</v>
      </c>
      <c r="B41" s="11">
        <v>3</v>
      </c>
      <c r="C41" s="30" t="s">
        <v>151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 t="shared" si="11"/>
        <v>2</v>
      </c>
    </row>
    <row r="42" spans="1:12" ht="15" customHeight="1" x14ac:dyDescent="0.25">
      <c r="A42" s="11" t="s">
        <v>148</v>
      </c>
      <c r="B42" s="11">
        <v>4</v>
      </c>
      <c r="C42" s="30" t="s">
        <v>153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 t="shared" si="11"/>
        <v>4</v>
      </c>
    </row>
    <row r="43" spans="1:12" ht="15" customHeight="1" x14ac:dyDescent="0.25">
      <c r="A43" s="8" t="s">
        <v>157</v>
      </c>
      <c r="B43" s="8">
        <v>1</v>
      </c>
      <c r="C43" s="29" t="s">
        <v>155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 t="shared" ref="L43:L46" si="12">SUMPRODUCT(--(($K$43:$K$46*1000+$J$43:$J$46*10+$H$43:$H$46)&gt;($K43*1000+$J43*10+$H43)))+1</f>
        <v>2</v>
      </c>
    </row>
    <row r="44" spans="1:12" ht="15" customHeight="1" x14ac:dyDescent="0.25">
      <c r="A44" s="8" t="s">
        <v>157</v>
      </c>
      <c r="B44" s="8">
        <v>2</v>
      </c>
      <c r="C44" s="29" t="s">
        <v>158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 t="shared" si="12"/>
        <v>3</v>
      </c>
    </row>
    <row r="45" spans="1:12" ht="15" customHeight="1" x14ac:dyDescent="0.25">
      <c r="A45" s="8" t="s">
        <v>157</v>
      </c>
      <c r="B45" s="8">
        <v>3</v>
      </c>
      <c r="C45" s="29" t="s">
        <v>160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 t="shared" si="12"/>
        <v>4</v>
      </c>
    </row>
    <row r="46" spans="1:12" ht="15" customHeight="1" x14ac:dyDescent="0.25">
      <c r="A46" s="8" t="s">
        <v>157</v>
      </c>
      <c r="B46" s="8">
        <v>4</v>
      </c>
      <c r="C46" s="29" t="s">
        <v>162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 t="shared" si="12"/>
        <v>1</v>
      </c>
    </row>
    <row r="47" spans="1:12" ht="15" customHeight="1" x14ac:dyDescent="0.25">
      <c r="A47" s="11" t="s">
        <v>166</v>
      </c>
      <c r="B47" s="11">
        <v>1</v>
      </c>
      <c r="C47" s="30" t="s">
        <v>164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 t="shared" ref="L47:L50" si="13">SUMPRODUCT(--(($K$47:$K$50*1000+$J$47:$J$50*10+$H$47:$H$50)&gt;($K47*1000+$J47*10+$H47)))+1</f>
        <v>1</v>
      </c>
    </row>
    <row r="48" spans="1:12" ht="15" customHeight="1" x14ac:dyDescent="0.25">
      <c r="A48" s="11" t="s">
        <v>166</v>
      </c>
      <c r="B48" s="11">
        <v>2</v>
      </c>
      <c r="C48" s="30" t="s">
        <v>167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 t="shared" si="13"/>
        <v>2</v>
      </c>
    </row>
    <row r="49" spans="1:12" ht="15" customHeight="1" x14ac:dyDescent="0.25">
      <c r="A49" s="11" t="s">
        <v>166</v>
      </c>
      <c r="B49" s="11">
        <v>3</v>
      </c>
      <c r="C49" s="30" t="s">
        <v>169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 t="shared" si="13"/>
        <v>3</v>
      </c>
    </row>
    <row r="50" spans="1:12" ht="15" customHeight="1" x14ac:dyDescent="0.25">
      <c r="A50" s="11" t="s">
        <v>166</v>
      </c>
      <c r="B50" s="11">
        <v>4</v>
      </c>
      <c r="C50" s="30" t="s">
        <v>171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 t="shared" si="13"/>
        <v>4</v>
      </c>
    </row>
    <row r="51" spans="1:12" ht="15.75" customHeight="1" x14ac:dyDescent="0.25"/>
    <row r="52" spans="1:12" ht="15" customHeight="1" x14ac:dyDescent="0.25">
      <c r="A52" s="35" t="s">
        <v>399</v>
      </c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L1"/>
    <mergeCell ref="A52:L52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0" ht="24" customHeight="1" x14ac:dyDescent="0.25">
      <c r="A1" s="32" t="s">
        <v>400</v>
      </c>
      <c r="B1" s="33"/>
      <c r="C1" s="33"/>
      <c r="D1" s="33"/>
      <c r="E1" s="33"/>
      <c r="F1" s="33"/>
      <c r="G1" s="34"/>
    </row>
    <row r="2" spans="1:10" ht="15" customHeight="1" x14ac:dyDescent="0.25">
      <c r="A2" s="7" t="s">
        <v>401</v>
      </c>
      <c r="B2" s="7" t="s">
        <v>402</v>
      </c>
      <c r="C2" s="7" t="s">
        <v>403</v>
      </c>
      <c r="D2" s="7" t="s">
        <v>404</v>
      </c>
      <c r="E2" s="7" t="s">
        <v>405</v>
      </c>
      <c r="F2" s="7" t="s">
        <v>406</v>
      </c>
      <c r="G2" s="7" t="s">
        <v>407</v>
      </c>
      <c r="H2" s="27" t="s">
        <v>54</v>
      </c>
      <c r="I2" s="27" t="s">
        <v>408</v>
      </c>
      <c r="J2" s="27" t="s">
        <v>409</v>
      </c>
    </row>
    <row r="3" spans="1:10" ht="15" customHeight="1" x14ac:dyDescent="0.25">
      <c r="A3" s="8" t="s">
        <v>410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/>
      <c r="E3" s="26"/>
      <c r="F3" s="31" t="str">
        <f t="array" ref="F3">INDEX(Posiciones!$C$3:$C$50,SUMPRODUCT((Posiciones!$A$3:$A$50="B")*(Posiciones!$L$3:$L$50=2)*ROW(Posiciones!$A$3:$A$50))-2)</f>
        <v>Canadá</v>
      </c>
      <c r="G3" s="31" t="s">
        <v>411</v>
      </c>
      <c r="I3" s="23" t="s">
        <v>412</v>
      </c>
      <c r="J3" s="23" t="s">
        <v>413</v>
      </c>
    </row>
    <row r="4" spans="1:10" ht="15" customHeight="1" x14ac:dyDescent="0.25">
      <c r="A4" s="8" t="s">
        <v>410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/>
      <c r="E4" s="26"/>
      <c r="F4" s="31" t="str">
        <f t="array" ref="F4">INDEX(Posiciones!$C$3:$C$50,SUMPRODUCT((Posiciones!$A$3:$A$50="F")*(Posiciones!$L$3:$L$50=2)*ROW(Posiciones!$A$3:$A$50))-2)</f>
        <v>Japón</v>
      </c>
      <c r="G4" s="31" t="s">
        <v>411</v>
      </c>
      <c r="I4" s="23" t="s">
        <v>414</v>
      </c>
      <c r="J4" s="23" t="s">
        <v>415</v>
      </c>
    </row>
    <row r="5" spans="1:10" ht="15" customHeight="1" x14ac:dyDescent="0.25">
      <c r="A5" s="8" t="s">
        <v>410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/>
      <c r="E5" s="26"/>
      <c r="F5" s="31" t="s">
        <v>114</v>
      </c>
      <c r="G5" s="31" t="s">
        <v>411</v>
      </c>
      <c r="I5" s="23" t="s">
        <v>416</v>
      </c>
      <c r="J5" s="23" t="s">
        <v>417</v>
      </c>
    </row>
    <row r="6" spans="1:10" ht="15" customHeight="1" x14ac:dyDescent="0.25">
      <c r="A6" s="8" t="s">
        <v>410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/>
      <c r="E6" s="26"/>
      <c r="F6" s="31" t="str">
        <f t="array" ref="F6">INDEX(Posiciones!$C$3:$C$50,SUMPRODUCT((Posiciones!$A$3:$A$50="C")*(Posiciones!$L$3:$L$50=2)*ROW(Posiciones!$A$3:$A$50))-2)</f>
        <v>Marruecos</v>
      </c>
      <c r="G6" s="31" t="s">
        <v>411</v>
      </c>
      <c r="I6" s="23" t="s">
        <v>418</v>
      </c>
      <c r="J6" s="23" t="s">
        <v>419</v>
      </c>
    </row>
    <row r="7" spans="1:10" ht="15" customHeight="1" x14ac:dyDescent="0.25">
      <c r="A7" s="8" t="s">
        <v>410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/>
      <c r="E7" s="26"/>
      <c r="F7" s="31" t="str">
        <f t="array" ref="F7">INDEX(Posiciones!$C$3:$C$50,SUMPRODUCT((Posiciones!$A$3:$A$50="I")*(Posiciones!$L$3:$L$50=2)*ROW(Posiciones!$A$3:$A$50))-2)</f>
        <v>Noruega</v>
      </c>
      <c r="G7" s="31" t="s">
        <v>411</v>
      </c>
      <c r="I7" s="23" t="s">
        <v>420</v>
      </c>
      <c r="J7" s="23" t="s">
        <v>421</v>
      </c>
    </row>
    <row r="8" spans="1:10" ht="15" customHeight="1" x14ac:dyDescent="0.25">
      <c r="A8" s="8" t="s">
        <v>410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/>
      <c r="E8" s="26"/>
      <c r="F8" s="31" t="s">
        <v>94</v>
      </c>
      <c r="G8" s="31" t="s">
        <v>411</v>
      </c>
      <c r="I8" s="23" t="s">
        <v>422</v>
      </c>
      <c r="J8" s="23" t="s">
        <v>423</v>
      </c>
    </row>
    <row r="9" spans="1:10" ht="15" customHeight="1" x14ac:dyDescent="0.25">
      <c r="A9" s="8" t="s">
        <v>410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/>
      <c r="E9" s="26"/>
      <c r="F9" s="31" t="s">
        <v>131</v>
      </c>
      <c r="G9" s="31" t="s">
        <v>411</v>
      </c>
      <c r="I9" s="23" t="s">
        <v>424</v>
      </c>
      <c r="J9" s="23" t="s">
        <v>425</v>
      </c>
    </row>
    <row r="10" spans="1:10" ht="15" customHeight="1" x14ac:dyDescent="0.25">
      <c r="A10" s="8" t="s">
        <v>410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/>
      <c r="E10" s="26"/>
      <c r="F10" s="31" t="s">
        <v>149</v>
      </c>
      <c r="G10" s="31" t="s">
        <v>411</v>
      </c>
      <c r="I10" s="23" t="s">
        <v>426</v>
      </c>
      <c r="J10" s="23" t="s">
        <v>427</v>
      </c>
    </row>
    <row r="11" spans="1:10" ht="15" customHeight="1" x14ac:dyDescent="0.25">
      <c r="A11" s="8" t="s">
        <v>410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/>
      <c r="E11" s="26"/>
      <c r="F11" s="31" t="s">
        <v>66</v>
      </c>
      <c r="G11" s="31" t="s">
        <v>411</v>
      </c>
      <c r="I11" s="23" t="s">
        <v>428</v>
      </c>
      <c r="J11" s="23" t="s">
        <v>429</v>
      </c>
    </row>
    <row r="12" spans="1:10" ht="15" customHeight="1" x14ac:dyDescent="0.25">
      <c r="A12" s="8" t="s">
        <v>410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/>
      <c r="E12" s="26"/>
      <c r="F12" s="31" t="s">
        <v>75</v>
      </c>
      <c r="G12" s="31" t="s">
        <v>411</v>
      </c>
      <c r="I12" s="23" t="s">
        <v>430</v>
      </c>
      <c r="J12" s="23" t="s">
        <v>431</v>
      </c>
    </row>
    <row r="13" spans="1:10" ht="15" customHeight="1" x14ac:dyDescent="0.25">
      <c r="A13" s="8" t="s">
        <v>410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/>
      <c r="E13" s="26"/>
      <c r="F13" s="31" t="str">
        <f t="array" ref="F13">INDEX(Posiciones!$C$3:$C$50,SUMPRODUCT((Posiciones!$A$3:$A$50="J")*(Posiciones!$L$3:$L$50=2)*ROW(Posiciones!$A$3:$A$50))-2)</f>
        <v>Austria</v>
      </c>
      <c r="G13" s="31" t="s">
        <v>411</v>
      </c>
      <c r="I13" s="23" t="s">
        <v>432</v>
      </c>
      <c r="J13" s="23" t="s">
        <v>433</v>
      </c>
    </row>
    <row r="14" spans="1:10" ht="15" customHeight="1" x14ac:dyDescent="0.25">
      <c r="A14" s="8" t="s">
        <v>410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/>
      <c r="E14" s="26"/>
      <c r="F14" s="31" t="str">
        <f t="array" ref="F14">INDEX(Posiciones!$C$3:$C$50,SUMPRODUCT((Posiciones!$A$3:$A$50="L")*(Posiciones!$L$3:$L$50=2)*ROW(Posiciones!$A$3:$A$50))-2)</f>
        <v>Croacia</v>
      </c>
      <c r="G14" s="31" t="s">
        <v>411</v>
      </c>
      <c r="I14" s="23" t="s">
        <v>434</v>
      </c>
      <c r="J14" s="23" t="s">
        <v>435</v>
      </c>
    </row>
    <row r="15" spans="1:10" ht="15" customHeight="1" x14ac:dyDescent="0.25">
      <c r="A15" s="8" t="s">
        <v>410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/>
      <c r="E15" s="26"/>
      <c r="F15" s="31" t="s">
        <v>118</v>
      </c>
      <c r="G15" s="31" t="s">
        <v>411</v>
      </c>
      <c r="I15" s="23" t="s">
        <v>436</v>
      </c>
      <c r="J15" s="23" t="s">
        <v>437</v>
      </c>
    </row>
    <row r="16" spans="1:10" ht="15" customHeight="1" x14ac:dyDescent="0.25">
      <c r="A16" s="8" t="s">
        <v>410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/>
      <c r="E16" s="26"/>
      <c r="F16" s="31" t="str">
        <f t="array" ref="F16">INDEX(Posiciones!$C$3:$C$50,SUMPRODUCT((Posiciones!$A$3:$A$50="G")*(Posiciones!$L$3:$L$50=2)*ROW(Posiciones!$A$3:$A$50))-2)</f>
        <v>Nueva Zelanda</v>
      </c>
      <c r="G16" s="31" t="s">
        <v>411</v>
      </c>
      <c r="I16" s="23" t="s">
        <v>438</v>
      </c>
      <c r="J16" s="23" t="s">
        <v>439</v>
      </c>
    </row>
    <row r="17" spans="1:10" ht="15" customHeight="1" x14ac:dyDescent="0.25">
      <c r="A17" s="8" t="s">
        <v>410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/>
      <c r="E17" s="26"/>
      <c r="F17" s="31" t="str">
        <f t="array" ref="F17">INDEX(Posiciones!$C$3:$C$50,SUMPRODUCT((Posiciones!$A$3:$A$50="H")*(Posiciones!$L$3:$L$50=2)*ROW(Posiciones!$A$3:$A$50))-2)</f>
        <v>Cabo Verde</v>
      </c>
      <c r="G17" s="31" t="s">
        <v>411</v>
      </c>
      <c r="I17" s="23" t="s">
        <v>440</v>
      </c>
      <c r="J17" s="23" t="s">
        <v>441</v>
      </c>
    </row>
    <row r="18" spans="1:10" ht="15" customHeight="1" x14ac:dyDescent="0.25">
      <c r="A18" s="8" t="s">
        <v>410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/>
      <c r="E18" s="26"/>
      <c r="F18" s="31" t="s">
        <v>167</v>
      </c>
      <c r="G18" s="31" t="s">
        <v>411</v>
      </c>
      <c r="I18" s="23" t="s">
        <v>442</v>
      </c>
      <c r="J18" s="23" t="s">
        <v>443</v>
      </c>
    </row>
    <row r="19" spans="1:10" ht="15" customHeight="1" x14ac:dyDescent="0.25">
      <c r="A19" s="8" t="s">
        <v>444</v>
      </c>
      <c r="B19" s="8">
        <v>1</v>
      </c>
      <c r="C19" s="31"/>
      <c r="D19" s="26"/>
      <c r="E19" s="26"/>
      <c r="F19" s="31"/>
      <c r="G19" s="31"/>
    </row>
    <row r="20" spans="1:10" ht="15" customHeight="1" x14ac:dyDescent="0.25">
      <c r="A20" s="8" t="s">
        <v>444</v>
      </c>
      <c r="B20" s="8">
        <v>2</v>
      </c>
      <c r="C20" s="31"/>
      <c r="D20" s="26"/>
      <c r="E20" s="26"/>
      <c r="F20" s="31"/>
      <c r="G20" s="31"/>
    </row>
    <row r="21" spans="1:10" ht="15" customHeight="1" x14ac:dyDescent="0.25">
      <c r="A21" s="8" t="s">
        <v>444</v>
      </c>
      <c r="B21" s="8">
        <v>3</v>
      </c>
      <c r="C21" s="31"/>
      <c r="D21" s="26"/>
      <c r="E21" s="26"/>
      <c r="F21" s="31"/>
      <c r="G21" s="31"/>
    </row>
    <row r="22" spans="1:10" ht="15" customHeight="1" x14ac:dyDescent="0.25">
      <c r="A22" s="8" t="s">
        <v>444</v>
      </c>
      <c r="B22" s="8">
        <v>4</v>
      </c>
      <c r="C22" s="31"/>
      <c r="D22" s="26"/>
      <c r="E22" s="26"/>
      <c r="F22" s="31"/>
      <c r="G22" s="31"/>
    </row>
    <row r="23" spans="1:10" ht="15" customHeight="1" x14ac:dyDescent="0.25">
      <c r="A23" s="8" t="s">
        <v>444</v>
      </c>
      <c r="B23" s="8">
        <v>5</v>
      </c>
      <c r="C23" s="31"/>
      <c r="D23" s="26"/>
      <c r="E23" s="26"/>
      <c r="F23" s="31"/>
      <c r="G23" s="31"/>
    </row>
    <row r="24" spans="1:10" ht="15" customHeight="1" x14ac:dyDescent="0.25">
      <c r="A24" s="8" t="s">
        <v>444</v>
      </c>
      <c r="B24" s="8">
        <v>6</v>
      </c>
      <c r="C24" s="31"/>
      <c r="D24" s="26"/>
      <c r="E24" s="26"/>
      <c r="F24" s="31"/>
      <c r="G24" s="31"/>
    </row>
    <row r="25" spans="1:10" ht="15" customHeight="1" x14ac:dyDescent="0.25">
      <c r="A25" s="8" t="s">
        <v>444</v>
      </c>
      <c r="B25" s="8">
        <v>7</v>
      </c>
      <c r="C25" s="31"/>
      <c r="D25" s="26"/>
      <c r="E25" s="26"/>
      <c r="F25" s="31"/>
      <c r="G25" s="31"/>
    </row>
    <row r="26" spans="1:10" ht="15" customHeight="1" x14ac:dyDescent="0.25">
      <c r="A26" s="8" t="s">
        <v>444</v>
      </c>
      <c r="B26" s="8">
        <v>8</v>
      </c>
      <c r="C26" s="31"/>
      <c r="D26" s="26"/>
      <c r="E26" s="26"/>
      <c r="F26" s="31"/>
      <c r="G26" s="31"/>
    </row>
    <row r="27" spans="1:10" ht="15" customHeight="1" x14ac:dyDescent="0.25">
      <c r="A27" s="8" t="s">
        <v>445</v>
      </c>
      <c r="B27" s="8">
        <v>1</v>
      </c>
      <c r="C27" s="31"/>
      <c r="D27" s="26"/>
      <c r="E27" s="26"/>
      <c r="F27" s="31"/>
      <c r="G27" s="31"/>
    </row>
    <row r="28" spans="1:10" ht="15" customHeight="1" x14ac:dyDescent="0.25">
      <c r="A28" s="8" t="s">
        <v>445</v>
      </c>
      <c r="B28" s="8">
        <v>2</v>
      </c>
      <c r="C28" s="31"/>
      <c r="D28" s="26"/>
      <c r="E28" s="26"/>
      <c r="F28" s="31"/>
      <c r="G28" s="31"/>
    </row>
    <row r="29" spans="1:10" ht="15" customHeight="1" x14ac:dyDescent="0.25">
      <c r="A29" s="8" t="s">
        <v>445</v>
      </c>
      <c r="B29" s="8">
        <v>3</v>
      </c>
      <c r="C29" s="31"/>
      <c r="D29" s="26"/>
      <c r="E29" s="26"/>
      <c r="F29" s="31"/>
      <c r="G29" s="31"/>
    </row>
    <row r="30" spans="1:10" ht="15" customHeight="1" x14ac:dyDescent="0.25">
      <c r="A30" s="8" t="s">
        <v>445</v>
      </c>
      <c r="B30" s="8">
        <v>4</v>
      </c>
      <c r="C30" s="31"/>
      <c r="D30" s="26"/>
      <c r="E30" s="26"/>
      <c r="F30" s="31"/>
      <c r="G30" s="31"/>
    </row>
    <row r="31" spans="1:10" ht="15" customHeight="1" x14ac:dyDescent="0.25">
      <c r="A31" s="8" t="s">
        <v>446</v>
      </c>
      <c r="B31" s="8">
        <v>1</v>
      </c>
      <c r="C31" s="31"/>
      <c r="D31" s="26"/>
      <c r="E31" s="26"/>
      <c r="F31" s="31"/>
      <c r="G31" s="31"/>
    </row>
    <row r="32" spans="1:10" ht="15" customHeight="1" x14ac:dyDescent="0.25">
      <c r="A32" s="8" t="s">
        <v>446</v>
      </c>
      <c r="B32" s="8">
        <v>2</v>
      </c>
      <c r="C32" s="31"/>
      <c r="D32" s="26"/>
      <c r="E32" s="26"/>
      <c r="F32" s="31"/>
      <c r="G32" s="31"/>
    </row>
    <row r="33" spans="1:7" ht="15" customHeight="1" x14ac:dyDescent="0.25">
      <c r="A33" s="8" t="s">
        <v>447</v>
      </c>
      <c r="B33" s="8">
        <v>1</v>
      </c>
      <c r="C33" s="31"/>
      <c r="D33" s="26"/>
      <c r="E33" s="26"/>
      <c r="F33" s="31"/>
      <c r="G33" s="31"/>
    </row>
    <row r="34" spans="1:7" ht="15" customHeight="1" x14ac:dyDescent="0.25">
      <c r="A34" s="8" t="s">
        <v>448</v>
      </c>
      <c r="B34" s="8">
        <v>1</v>
      </c>
      <c r="C34" s="31"/>
      <c r="D34" s="26"/>
      <c r="E34" s="26"/>
      <c r="F34" s="31"/>
      <c r="G34" s="31"/>
    </row>
    <row r="35" spans="1:7" ht="15.75" customHeight="1" x14ac:dyDescent="0.25"/>
    <row r="36" spans="1:7" ht="15" customHeight="1" x14ac:dyDescent="0.25">
      <c r="A36" s="35" t="s">
        <v>449</v>
      </c>
      <c r="B36" s="36"/>
      <c r="C36" s="36"/>
      <c r="D36" s="36"/>
      <c r="E36" s="36"/>
      <c r="F36" s="36"/>
      <c r="G36" s="36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G1"/>
    <mergeCell ref="A36:G36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450</v>
      </c>
    </row>
    <row r="2" spans="1:4" x14ac:dyDescent="0.25">
      <c r="A2" s="27" t="s">
        <v>451</v>
      </c>
      <c r="B2" s="27" t="s">
        <v>47</v>
      </c>
      <c r="C2" s="27" t="s">
        <v>452</v>
      </c>
      <c r="D2" s="27" t="s">
        <v>453</v>
      </c>
    </row>
    <row r="3" spans="1:4" x14ac:dyDescent="0.25">
      <c r="A3" s="23" t="s">
        <v>454</v>
      </c>
      <c r="B3" s="23" t="s">
        <v>57</v>
      </c>
      <c r="C3" s="23" t="s">
        <v>455</v>
      </c>
      <c r="D3" s="23">
        <v>2240</v>
      </c>
    </row>
    <row r="4" spans="1:4" x14ac:dyDescent="0.25">
      <c r="A4" s="23" t="s">
        <v>456</v>
      </c>
      <c r="B4" s="23" t="s">
        <v>57</v>
      </c>
      <c r="C4" s="23" t="s">
        <v>457</v>
      </c>
      <c r="D4" s="23">
        <v>1560</v>
      </c>
    </row>
    <row r="5" spans="1:4" x14ac:dyDescent="0.25">
      <c r="A5" s="23" t="s">
        <v>458</v>
      </c>
      <c r="B5" s="23" t="s">
        <v>57</v>
      </c>
      <c r="C5" s="23" t="s">
        <v>459</v>
      </c>
      <c r="D5" s="23">
        <v>500</v>
      </c>
    </row>
    <row r="6" spans="1:4" x14ac:dyDescent="0.25">
      <c r="A6" s="23" t="s">
        <v>460</v>
      </c>
      <c r="B6" s="23" t="s">
        <v>72</v>
      </c>
      <c r="C6" s="23" t="s">
        <v>461</v>
      </c>
      <c r="D6" s="23">
        <v>76</v>
      </c>
    </row>
    <row r="7" spans="1:4" x14ac:dyDescent="0.25">
      <c r="A7" s="23" t="s">
        <v>462</v>
      </c>
      <c r="B7" s="23" t="s">
        <v>72</v>
      </c>
      <c r="C7" s="23" t="s">
        <v>463</v>
      </c>
      <c r="D7" s="23">
        <v>0</v>
      </c>
    </row>
    <row r="8" spans="1:4" x14ac:dyDescent="0.25">
      <c r="A8" s="23" t="s">
        <v>464</v>
      </c>
      <c r="B8" s="23" t="s">
        <v>91</v>
      </c>
      <c r="C8" s="23" t="s">
        <v>465</v>
      </c>
      <c r="D8" s="23">
        <v>3</v>
      </c>
    </row>
    <row r="9" spans="1:4" x14ac:dyDescent="0.25">
      <c r="A9" s="23" t="s">
        <v>466</v>
      </c>
      <c r="B9" s="23" t="s">
        <v>91</v>
      </c>
      <c r="C9" s="23" t="s">
        <v>467</v>
      </c>
      <c r="D9" s="23">
        <v>150</v>
      </c>
    </row>
    <row r="10" spans="1:4" x14ac:dyDescent="0.25">
      <c r="A10" s="23" t="s">
        <v>468</v>
      </c>
      <c r="B10" s="23" t="s">
        <v>91</v>
      </c>
      <c r="C10" s="23" t="s">
        <v>469</v>
      </c>
      <c r="D10" s="23">
        <v>30</v>
      </c>
    </row>
    <row r="11" spans="1:4" x14ac:dyDescent="0.25">
      <c r="A11" s="23" t="s">
        <v>470</v>
      </c>
      <c r="B11" s="23" t="s">
        <v>91</v>
      </c>
      <c r="C11" s="23" t="s">
        <v>471</v>
      </c>
      <c r="D11" s="23">
        <v>270</v>
      </c>
    </row>
    <row r="12" spans="1:4" x14ac:dyDescent="0.25">
      <c r="A12" s="23" t="s">
        <v>472</v>
      </c>
      <c r="B12" s="23" t="s">
        <v>91</v>
      </c>
      <c r="C12" s="23" t="s">
        <v>473</v>
      </c>
      <c r="D12" s="23">
        <v>5</v>
      </c>
    </row>
    <row r="13" spans="1:4" x14ac:dyDescent="0.25">
      <c r="A13" s="23" t="s">
        <v>474</v>
      </c>
      <c r="B13" s="23" t="s">
        <v>91</v>
      </c>
      <c r="C13" s="23" t="s">
        <v>475</v>
      </c>
      <c r="D13" s="23">
        <v>15</v>
      </c>
    </row>
    <row r="14" spans="1:4" x14ac:dyDescent="0.25">
      <c r="A14" s="23" t="s">
        <v>476</v>
      </c>
      <c r="B14" s="23" t="s">
        <v>91</v>
      </c>
      <c r="C14" s="23" t="s">
        <v>477</v>
      </c>
      <c r="D14" s="23">
        <v>12</v>
      </c>
    </row>
    <row r="15" spans="1:4" x14ac:dyDescent="0.25">
      <c r="A15" s="23" t="s">
        <v>478</v>
      </c>
      <c r="B15" s="23" t="s">
        <v>91</v>
      </c>
      <c r="C15" s="23" t="s">
        <v>479</v>
      </c>
      <c r="D15" s="23">
        <v>320</v>
      </c>
    </row>
    <row r="16" spans="1:4" x14ac:dyDescent="0.25">
      <c r="A16" s="23" t="s">
        <v>480</v>
      </c>
      <c r="B16" s="23" t="s">
        <v>91</v>
      </c>
      <c r="C16" s="23" t="s">
        <v>481</v>
      </c>
      <c r="D16" s="23">
        <v>30</v>
      </c>
    </row>
    <row r="17" spans="1:4" x14ac:dyDescent="0.25">
      <c r="A17" s="23" t="s">
        <v>482</v>
      </c>
      <c r="B17" s="23" t="s">
        <v>91</v>
      </c>
      <c r="C17" s="23" t="s">
        <v>483</v>
      </c>
      <c r="D17" s="23">
        <v>2</v>
      </c>
    </row>
    <row r="18" spans="1:4" x14ac:dyDescent="0.25">
      <c r="A18" s="23" t="s">
        <v>484</v>
      </c>
      <c r="B18" s="23" t="s">
        <v>91</v>
      </c>
      <c r="C18" s="23" t="s">
        <v>485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Riverti</cp:lastModifiedBy>
  <dcterms:created xsi:type="dcterms:W3CDTF">2026-06-24T20:52:04Z</dcterms:created>
  <dcterms:modified xsi:type="dcterms:W3CDTF">2026-06-28T05:38:50Z</dcterms:modified>
</cp:coreProperties>
</file>