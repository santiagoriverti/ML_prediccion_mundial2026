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8" autoFilterDateGrouping="1"/>
  </bookViews>
  <sheets>
    <sheet name="Léeme" sheetId="1" state="visible" r:id="rId1"/>
    <sheet name="Selecciones" sheetId="2" state="visible" r:id="rId2"/>
    <sheet name="Historial" sheetId="3" state="visible" r:id="rId3"/>
    <sheet name="DTs" sheetId="4" state="visible" r:id="rId4"/>
    <sheet name="Clasificatorias" sheetId="5" state="visible" r:id="rId5"/>
    <sheet name="Predictores_país" sheetId="6" state="visible" r:id="rId6"/>
    <sheet name="Fixture_Grupos" sheetId="7" state="visible" r:id="rId7"/>
    <sheet name="Posiciones" sheetId="8" state="visible" r:id="rId8"/>
    <sheet name="Eliminatorias" sheetId="9" state="visible" r:id="rId9"/>
    <sheet name="Sed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olor theme="1"/>
      <sz val="11"/>
      <scheme val="minor"/>
    </font>
    <font>
      <name val="Calibri"/>
      <color theme="1"/>
      <sz val="11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0000"/>
      <sz val="10"/>
    </font>
    <font>
      <name val="Arial"/>
      <b val="1"/>
      <color rgb="FFFFFFFF"/>
      <sz val="10"/>
    </font>
    <font>
      <name val="Arial"/>
      <i val="1"/>
      <color rgb="FF595959"/>
      <sz val="9"/>
    </font>
    <font>
      <name val="Arial"/>
      <b val="1"/>
      <color rgb="FFFFFFFF"/>
      <sz val="9"/>
    </font>
    <font>
      <name val="Calibri"/>
      <color theme="1"/>
      <sz val="11"/>
      <scheme val="minor"/>
    </font>
    <font>
      <name val="Arial"/>
      <color rgb="FF0000FF"/>
      <sz val="10"/>
    </font>
    <font>
      <name val="Calibri"/>
      <b val="1"/>
      <color theme="1"/>
      <sz val="11"/>
    </font>
    <font>
      <name val="Arial"/>
      <color rgb="FF008000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8" fillId="0" borderId="2"/>
  </cellStyleXfs>
  <cellXfs count="37">
    <xf numFmtId="0" fontId="0" fillId="0" borderId="0" pivotButton="0" quotePrefix="0" xfId="0"/>
    <xf numFmtId="0" fontId="1" fillId="2" borderId="1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5" fillId="4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 wrapText="1"/>
    </xf>
    <xf numFmtId="2" fontId="4" fillId="0" borderId="3" applyAlignment="1" pivotButton="0" quotePrefix="0" xfId="0">
      <alignment horizontal="center" vertical="center"/>
    </xf>
    <xf numFmtId="0" fontId="4" fillId="5" borderId="3" applyAlignment="1" pivotButton="0" quotePrefix="0" xfId="0">
      <alignment horizontal="center" vertical="center"/>
    </xf>
    <xf numFmtId="0" fontId="4" fillId="5" borderId="3" applyAlignment="1" pivotButton="0" quotePrefix="0" xfId="0">
      <alignment horizontal="left" vertical="center" wrapText="1"/>
    </xf>
    <xf numFmtId="2" fontId="4" fillId="5" borderId="3" applyAlignment="1" pivotButton="0" quotePrefix="0" xfId="0">
      <alignment horizontal="center" vertical="center"/>
    </xf>
    <xf numFmtId="2" fontId="4" fillId="6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left" vertical="center"/>
    </xf>
    <xf numFmtId="1" fontId="4" fillId="0" borderId="3" applyAlignment="1" pivotButton="0" quotePrefix="0" xfId="0">
      <alignment horizontal="center" vertical="center"/>
    </xf>
    <xf numFmtId="164" fontId="4" fillId="0" borderId="3" applyAlignment="1" pivotButton="0" quotePrefix="0" xfId="0">
      <alignment horizontal="center" vertical="center"/>
    </xf>
    <xf numFmtId="0" fontId="4" fillId="5" borderId="3" applyAlignment="1" pivotButton="0" quotePrefix="0" xfId="0">
      <alignment horizontal="left" vertical="center"/>
    </xf>
    <xf numFmtId="1" fontId="4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8" fillId="0" borderId="0" pivotButton="0" quotePrefix="0" xfId="0"/>
    <xf numFmtId="0" fontId="4" fillId="6" borderId="3" applyAlignment="1" pivotButton="0" quotePrefix="0" xfId="0">
      <alignment horizontal="left" vertical="center" wrapText="1"/>
    </xf>
    <xf numFmtId="0" fontId="5" fillId="7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/>
    </xf>
    <xf numFmtId="0" fontId="10" fillId="0" borderId="0" pivotButton="0" quotePrefix="0" xfId="0"/>
    <xf numFmtId="0" fontId="9" fillId="5" borderId="3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 wrapText="1"/>
    </xf>
    <xf numFmtId="0" fontId="11" fillId="5" borderId="3" applyAlignment="1" pivotButton="0" quotePrefix="0" xfId="0">
      <alignment horizontal="left" vertical="center" wrapText="1"/>
    </xf>
    <xf numFmtId="0" fontId="9" fillId="6" borderId="3" applyAlignment="1" pivotButton="0" quotePrefix="0" xfId="0">
      <alignment horizontal="left" vertical="center" wrapText="1"/>
    </xf>
    <xf numFmtId="0" fontId="6" fillId="0" borderId="2" pivotButton="0" quotePrefix="0" xfId="0"/>
    <xf numFmtId="0" fontId="0" fillId="0" borderId="0" pivotButton="0" quotePrefix="0" xfId="0"/>
    <xf numFmtId="0" fontId="2" fillId="2" borderId="2" applyAlignment="1" pivotButton="0" quotePrefix="0" xfId="0">
      <alignment horizontal="left" vertical="center" wrapText="1"/>
    </xf>
    <xf numFmtId="0" fontId="2" fillId="2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10" defaultColWidth="14.42578125" defaultRowHeight="15" customHeight="1"/>
  <cols>
    <col width="3" customWidth="1" style="33" min="1" max="1"/>
    <col width="30" customWidth="1" style="33" min="2" max="2"/>
    <col width="95" customWidth="1" style="33" min="3" max="3"/>
    <col width="8.7109375" customWidth="1" style="33" min="4" max="26"/>
  </cols>
  <sheetData>
    <row r="1" ht="25.5" customHeight="1" s="33">
      <c r="A1" s="1" t="n"/>
      <c r="B1" s="34" t="inlineStr">
        <is>
          <t>Mundial 2026 — Fuente de datos</t>
        </is>
      </c>
    </row>
    <row r="2" ht="43.5" customHeight="1" s="33">
      <c r="B2" s="2" t="inlineStr">
        <is>
          <t>Corte de resultados</t>
        </is>
      </c>
      <c r="C2" s="3" t="inlineStr">
        <is>
      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      </is>
      </c>
    </row>
    <row r="3" ht="30" customHeight="1" s="33">
      <c r="B3" s="2" t="inlineStr">
        <is>
          <t>Qué es</t>
        </is>
      </c>
      <c r="C3" s="3" t="inlineStr">
        <is>
      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      </is>
      </c>
    </row>
    <row r="4" ht="15.75" customHeight="1" s="33">
      <c r="B4" s="4" t="inlineStr">
        <is>
          <t>Hojas</t>
        </is>
      </c>
      <c r="C4" s="5" t="n"/>
    </row>
    <row r="5" ht="30" customHeight="1" s="33">
      <c r="B5" s="2" t="inlineStr">
        <is>
          <t xml:space="preserve">  Selecciones</t>
        </is>
      </c>
      <c r="C5" s="3" t="inlineStr">
        <is>
          <t>Las 48 selecciones con grupo, confederación, ranking y puntos FIFA, sede, debutante y títulos.</t>
        </is>
      </c>
    </row>
    <row r="6" ht="30" customHeight="1" s="33">
      <c r="B6" s="2" t="inlineStr">
        <is>
          <t xml:space="preserve">  Clasificatorias</t>
        </is>
      </c>
      <c r="C6" s="3" t="inlineStr">
        <is>
          <t>Plantilla para cargar el rendimiento de cada selección en sus eliminatorias (PJ, PG, PE, PP, GF, GC). Las columnas derivadas (Pts, DG, %Pts, GF/PJ) se calculan solas.</t>
        </is>
      </c>
    </row>
    <row r="7" ht="30" customHeight="1" s="33">
      <c r="B7" s="2" t="inlineStr">
        <is>
          <t xml:space="preserve">  Predictores_país</t>
        </is>
      </c>
      <c r="C7" s="3" t="inlineStr">
        <is>
          <t>Plantilla para cargar variables de país/plantel que pueden servir como predictores (población, PIB, PIB per cápita, valor de plantel, etc.). Con fuentes sugeridas.</t>
        </is>
      </c>
    </row>
    <row r="8" ht="15.75" customHeight="1" s="33">
      <c r="B8" s="2" t="inlineStr">
        <is>
          <t xml:space="preserve">  Fixture_Grupos</t>
        </is>
      </c>
      <c r="C8" s="3" t="inlineStr">
        <is>
          <t>Los 72 partidos de la fase de grupos. Cargás Goles_A y Goles_B; el resto se completa solo.</t>
        </is>
      </c>
    </row>
    <row r="9" ht="30" customHeight="1" s="33">
      <c r="B9" s="2" t="inlineStr">
        <is>
          <t xml:space="preserve">  Posiciones</t>
        </is>
      </c>
      <c r="C9" s="3" t="inlineStr">
        <is>
          <t>Tabla de cada grupo. Se calcula automáticamente a partir de lo que cargás en Fixture_Grupos.</t>
        </is>
      </c>
    </row>
    <row r="10" ht="15.75" customHeight="1" s="33">
      <c r="B10" s="2" t="inlineStr">
        <is>
          <t xml:space="preserve">  Eliminatorias</t>
        </is>
      </c>
      <c r="C10" s="3" t="inlineStr">
        <is>
          <t>Plantilla del cuadro final (32avos → final) para cargar a mano a medida que se define.</t>
        </is>
      </c>
    </row>
    <row r="11" ht="15.75" customHeight="1" s="33">
      <c r="B11" s="4" t="inlineStr">
        <is>
          <t>Código de colores</t>
        </is>
      </c>
      <c r="C11" s="5" t="n"/>
    </row>
    <row r="12" ht="15.75" customHeight="1" s="33">
      <c r="B12" s="2" t="inlineStr">
        <is>
          <t xml:space="preserve">  Azul</t>
        </is>
      </c>
      <c r="C12" s="3" t="inlineStr">
        <is>
          <t>Celdas de entrada: las completás vos (resultados, datos de país).</t>
        </is>
      </c>
    </row>
    <row r="13" ht="15.75" customHeight="1" s="33">
      <c r="B13" s="2" t="inlineStr">
        <is>
          <t xml:space="preserve">  Amarillo</t>
        </is>
      </c>
      <c r="C13" s="3" t="inlineStr">
        <is>
          <t>Datos a completar / verificar (p. ej. puntos FIFA de 11 selecciones que no pude cerrar).</t>
        </is>
      </c>
    </row>
    <row r="14" ht="15.75" customHeight="1" s="33">
      <c r="B14" s="2" t="inlineStr">
        <is>
          <t xml:space="preserve">  Verde</t>
        </is>
      </c>
      <c r="C14" s="3" t="inlineStr">
        <is>
          <t>Valores traídos por fórmula desde otra hoja.</t>
        </is>
      </c>
    </row>
    <row r="15" ht="15.75" customHeight="1" s="33">
      <c r="B15" s="2" t="inlineStr">
        <is>
          <t xml:space="preserve">  Negro</t>
        </is>
      </c>
      <c r="C15" s="3" t="inlineStr">
        <is>
          <t>Cálculos / fórmulas.</t>
        </is>
      </c>
    </row>
    <row r="16" ht="30" customHeight="1" s="33">
      <c r="B16" s="2" t="inlineStr">
        <is>
          <t>Sin inferencia</t>
        </is>
      </c>
      <c r="C16" s="3" t="inlineStr">
        <is>
          <t>Las 'Posiciones' son una agregación contable de los resultados cargados, no una predicción. El orden dentro del grupo usa (Pts, DG, GF); el desempate oficial de FIFA usa primero el head-to-head, así que tomalo como ordenamiento provisional.</t>
        </is>
      </c>
    </row>
    <row r="17" ht="15.75" customHeight="1" s="33">
      <c r="B17" s="4" t="inlineStr">
        <is>
          <t>Fuentes</t>
        </is>
      </c>
      <c r="C17" s="5" t="n"/>
    </row>
    <row r="18" ht="15.75" customHeight="1" s="33">
      <c r="B18" s="2" t="inlineStr">
        <is>
          <t xml:space="preserve">  Grupos y formato</t>
        </is>
      </c>
      <c r="C18" s="3" t="inlineStr">
        <is>
          <t>Wikipedia — 2026 FIFA World Cup draw / 2026 FIFA World Cup (consultado 24-jun-2026).</t>
        </is>
      </c>
    </row>
    <row r="19" ht="30" customHeight="1" s="33">
      <c r="B19" s="2" t="inlineStr">
        <is>
          <t xml:space="preserve">  Ranking FIFA</t>
        </is>
      </c>
      <c r="C19" s="3" t="inlineStr">
        <is>
          <t>Foto del 19-nov-2025 (la usada para el sorteo). Fuente: football-ranking.com (replica el ranking FIFA/Coca-Cola). Oficial: https://inside.fifa.com/fifa-world-ranking/men</t>
        </is>
      </c>
    </row>
    <row r="20" ht="30" customHeight="1" s="33">
      <c r="B20" s="2" t="inlineStr">
        <is>
          <t xml:space="preserve">  Puntos a completar</t>
        </is>
      </c>
      <c r="C20" s="3" t="inlineStr">
        <is>
          <t>11 selecciones sin punto exacto cargado: Sudáfrica, Bosnia y Herzegovina, Haití, Curazao, Nueva Zelanda, Cabo Verde, Arabia Saudita, Irak, Uzbekistán, Jordania, Ghana. Completá desde la fuente FIFA del 19-nov-2025.</t>
        </is>
      </c>
    </row>
    <row r="21" ht="15.75" customHeight="1" s="33">
      <c r="B21" s="2" t="inlineStr">
        <is>
          <t xml:space="preserve">  Clasificatorias</t>
        </is>
      </c>
      <c r="C21" s="3" t="inlineStr">
        <is>
          <t>Wikipedia — 2026 FIFA World Cup qualification (por confederación) / RSSSF.</t>
        </is>
      </c>
    </row>
    <row r="22" ht="15.75" customHeight="1" s="33">
      <c r="B22" s="2" t="inlineStr">
        <is>
          <t xml:space="preserve">  Datos de país</t>
        </is>
      </c>
      <c r="C22" s="3" t="inlineStr">
        <is>
          <t>Población y PIB: Banco Mundial (data.worldbank.org). Valor de plantel: Transfermarkt.</t>
        </is>
      </c>
    </row>
    <row r="23" ht="30" customHeight="1" s="33">
      <c r="B23" s="2" t="inlineStr">
        <is>
          <t>Nota</t>
        </is>
      </c>
      <c r="C23" s="3" t="inlineStr">
        <is>
          <t>El ranking del 19-nov-2025 es una foto previa al torneo (limpia de resultados del Mundial). Si preferís una más reciente, está la del 01-abr-2026 y 11-jun-2026 en la misma fuente.</t>
        </is>
      </c>
    </row>
    <row r="24" ht="30" customHeight="1" s="33">
      <c r="B24" s="6" t="inlineStr">
        <is>
          <t xml:space="preserve">  Historial</t>
        </is>
      </c>
      <c r="C24" s="3" t="inlineStr">
        <is>
          <t>Historial mundialista de las 48: apariciones (incl. 2026), debut, mejor resultado, títulos/subcampeonatos/3os puestos y récord histórico acumulado (PJ, PG, PE, PP, GF, GC hasta 2022). VERIFICADO.</t>
        </is>
      </c>
    </row>
    <row r="25" ht="30" customHeight="1" s="33">
      <c r="B25" s="6" t="inlineStr">
        <is>
          <t xml:space="preserve">  DTs</t>
        </is>
      </c>
      <c r="C25" s="3" t="inlineStr">
        <is>
          <t>Entrenador de cada selección: nombre, nacionalidad, año de asunción, cargo anterior y trayectoria. VERIFICADO (amarillo = cambio reciente a confirmar).</t>
        </is>
      </c>
    </row>
    <row r="26" ht="15.75" customHeight="1" s="33"/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">
    <mergeCell ref="B1:C1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/>
  <cols>
    <col width="5" customWidth="1" style="33" min="1" max="1"/>
    <col width="24" customWidth="1" style="33" min="2" max="2"/>
    <col width="7" customWidth="1" style="33" min="3" max="4"/>
    <col width="10" customWidth="1" style="33" min="5" max="5"/>
    <col width="14" customWidth="1" style="33" min="6" max="8"/>
    <col width="8" customWidth="1" style="33" min="9" max="9"/>
    <col width="11" customWidth="1" style="33" min="10" max="10"/>
    <col width="12" customWidth="1" style="33" min="11" max="11"/>
    <col width="8.7109375" customWidth="1" style="33" min="12" max="26"/>
  </cols>
  <sheetData>
    <row r="1" ht="24" customHeight="1" s="33">
      <c r="A1" s="34" t="inlineStr">
        <is>
          <t>Selecciones participantes — Mundial 2026</t>
        </is>
      </c>
    </row>
    <row r="2" ht="23.25" customHeight="1" s="33">
      <c r="A2" s="7" t="inlineStr">
        <is>
          <t>N°</t>
        </is>
      </c>
      <c r="B2" s="7" t="inlineStr">
        <is>
          <t>País</t>
        </is>
      </c>
      <c r="C2" s="7" t="inlineStr">
        <is>
          <t>Cód.</t>
        </is>
      </c>
      <c r="D2" s="7" t="inlineStr">
        <is>
          <t>Grupo</t>
        </is>
      </c>
      <c r="E2" s="7" t="inlineStr">
        <is>
          <t>Pos. grupo</t>
        </is>
      </c>
      <c r="F2" s="7" t="inlineStr">
        <is>
          <t>Confederación</t>
        </is>
      </c>
      <c r="G2" s="7" t="inlineStr">
        <is>
          <t>Ranking FIFA (19-nov-25)</t>
        </is>
      </c>
      <c r="H2" s="7" t="inlineStr">
        <is>
          <t>Puntos FIFA (19-nov-25)</t>
        </is>
      </c>
      <c r="I2" s="7" t="inlineStr">
        <is>
          <t>Sede</t>
        </is>
      </c>
      <c r="J2" s="7" t="inlineStr">
        <is>
          <t>Debutante</t>
        </is>
      </c>
      <c r="K2" s="7" t="inlineStr">
        <is>
          <t>Títulos mundiales</t>
        </is>
      </c>
    </row>
    <row r="3" ht="15" customHeight="1" s="33">
      <c r="A3" s="8" t="n">
        <v>1</v>
      </c>
      <c r="B3" s="9" t="inlineStr">
        <is>
          <t>México</t>
        </is>
      </c>
      <c r="C3" s="8" t="inlineStr">
        <is>
          <t>MEX</t>
        </is>
      </c>
      <c r="D3" s="8" t="inlineStr">
        <is>
          <t>A</t>
        </is>
      </c>
      <c r="E3" s="8" t="n">
        <v>1</v>
      </c>
      <c r="F3" s="8" t="inlineStr">
        <is>
          <t>CONCACAF</t>
        </is>
      </c>
      <c r="G3" s="8" t="n">
        <v>15</v>
      </c>
      <c r="H3" s="10" t="n">
        <v>1675.74</v>
      </c>
      <c r="I3" s="8" t="inlineStr">
        <is>
          <t>Sí</t>
        </is>
      </c>
      <c r="J3" s="8" t="inlineStr">
        <is>
          <t>No</t>
        </is>
      </c>
      <c r="K3" s="8" t="n">
        <v>0</v>
      </c>
    </row>
    <row r="4" ht="15" customHeight="1" s="33">
      <c r="A4" s="11" t="n">
        <v>2</v>
      </c>
      <c r="B4" s="12" t="inlineStr">
        <is>
          <t>Sudáfrica</t>
        </is>
      </c>
      <c r="C4" s="11" t="inlineStr">
        <is>
          <t>RSA</t>
        </is>
      </c>
      <c r="D4" s="11" t="inlineStr">
        <is>
          <t>A</t>
        </is>
      </c>
      <c r="E4" s="11" t="n">
        <v>2</v>
      </c>
      <c r="F4" s="11" t="inlineStr">
        <is>
          <t>CAF</t>
        </is>
      </c>
      <c r="G4" s="11" t="n">
        <v>61</v>
      </c>
      <c r="H4" s="13" t="n">
        <v>1427.3</v>
      </c>
      <c r="I4" s="11" t="inlineStr">
        <is>
          <t>No</t>
        </is>
      </c>
      <c r="J4" s="11" t="inlineStr">
        <is>
          <t>No</t>
        </is>
      </c>
      <c r="K4" s="11" t="n">
        <v>0</v>
      </c>
    </row>
    <row r="5" ht="15" customHeight="1" s="33">
      <c r="A5" s="8" t="n">
        <v>3</v>
      </c>
      <c r="B5" s="9" t="inlineStr">
        <is>
          <t>Corea del Sur</t>
        </is>
      </c>
      <c r="C5" s="8" t="inlineStr">
        <is>
          <t>KOR</t>
        </is>
      </c>
      <c r="D5" s="8" t="inlineStr">
        <is>
          <t>A</t>
        </is>
      </c>
      <c r="E5" s="8" t="n">
        <v>3</v>
      </c>
      <c r="F5" s="8" t="inlineStr">
        <is>
          <t>AFC</t>
        </is>
      </c>
      <c r="G5" s="8" t="n">
        <v>22</v>
      </c>
      <c r="H5" s="10" t="n">
        <v>1599.45</v>
      </c>
      <c r="I5" s="8" t="inlineStr">
        <is>
          <t>No</t>
        </is>
      </c>
      <c r="J5" s="8" t="inlineStr">
        <is>
          <t>No</t>
        </is>
      </c>
      <c r="K5" s="8" t="n">
        <v>0</v>
      </c>
    </row>
    <row r="6" ht="15" customHeight="1" s="33">
      <c r="A6" s="11" t="n">
        <v>4</v>
      </c>
      <c r="B6" s="12" t="inlineStr">
        <is>
          <t>Chequia</t>
        </is>
      </c>
      <c r="C6" s="11" t="inlineStr">
        <is>
          <t>CZE</t>
        </is>
      </c>
      <c r="D6" s="11" t="inlineStr">
        <is>
          <t>A</t>
        </is>
      </c>
      <c r="E6" s="11" t="n">
        <v>4</v>
      </c>
      <c r="F6" s="11" t="inlineStr">
        <is>
          <t>UEFA</t>
        </is>
      </c>
      <c r="G6" s="11" t="n">
        <v>44</v>
      </c>
      <c r="H6" s="13" t="n">
        <v>1487</v>
      </c>
      <c r="I6" s="11" t="inlineStr">
        <is>
          <t>No</t>
        </is>
      </c>
      <c r="J6" s="11" t="inlineStr">
        <is>
          <t>No</t>
        </is>
      </c>
      <c r="K6" s="11" t="n">
        <v>0</v>
      </c>
    </row>
    <row r="7" ht="15" customHeight="1" s="33">
      <c r="A7" s="8" t="n">
        <v>5</v>
      </c>
      <c r="B7" s="9" t="inlineStr">
        <is>
          <t>Canadá</t>
        </is>
      </c>
      <c r="C7" s="8" t="inlineStr">
        <is>
          <t>CAN</t>
        </is>
      </c>
      <c r="D7" s="8" t="inlineStr">
        <is>
          <t>B</t>
        </is>
      </c>
      <c r="E7" s="8" t="n">
        <v>1</v>
      </c>
      <c r="F7" s="8" t="inlineStr">
        <is>
          <t>CONCACAF</t>
        </is>
      </c>
      <c r="G7" s="8" t="n">
        <v>27</v>
      </c>
      <c r="H7" s="10" t="n">
        <v>1559.16</v>
      </c>
      <c r="I7" s="8" t="inlineStr">
        <is>
          <t>Sí</t>
        </is>
      </c>
      <c r="J7" s="8" t="inlineStr">
        <is>
          <t>No</t>
        </is>
      </c>
      <c r="K7" s="8" t="n">
        <v>0</v>
      </c>
    </row>
    <row r="8" ht="15" customHeight="1" s="33">
      <c r="A8" s="11" t="n">
        <v>6</v>
      </c>
      <c r="B8" s="12" t="inlineStr">
        <is>
          <t>Bosnia y Herzegovina</t>
        </is>
      </c>
      <c r="C8" s="11" t="inlineStr">
        <is>
          <t>BIH</t>
        </is>
      </c>
      <c r="D8" s="11" t="inlineStr">
        <is>
          <t>B</t>
        </is>
      </c>
      <c r="E8" s="11" t="n">
        <v>2</v>
      </c>
      <c r="F8" s="11" t="inlineStr">
        <is>
          <t>UEFA</t>
        </is>
      </c>
      <c r="G8" s="11" t="n">
        <v>71</v>
      </c>
      <c r="H8" s="13" t="n">
        <v>1393.9</v>
      </c>
      <c r="I8" s="11" t="inlineStr">
        <is>
          <t>No</t>
        </is>
      </c>
      <c r="J8" s="11" t="inlineStr">
        <is>
          <t>No</t>
        </is>
      </c>
      <c r="K8" s="11" t="n">
        <v>0</v>
      </c>
    </row>
    <row r="9" ht="15" customHeight="1" s="33">
      <c r="A9" s="8" t="n">
        <v>7</v>
      </c>
      <c r="B9" s="9" t="inlineStr">
        <is>
          <t>Catar</t>
        </is>
      </c>
      <c r="C9" s="8" t="inlineStr">
        <is>
          <t>QAT</t>
        </is>
      </c>
      <c r="D9" s="8" t="inlineStr">
        <is>
          <t>B</t>
        </is>
      </c>
      <c r="E9" s="8" t="n">
        <v>3</v>
      </c>
      <c r="F9" s="8" t="inlineStr">
        <is>
          <t>AFC</t>
        </is>
      </c>
      <c r="G9" s="8" t="n">
        <v>51</v>
      </c>
      <c r="H9" s="10" t="n">
        <v>1461.6</v>
      </c>
      <c r="I9" s="8" t="inlineStr">
        <is>
          <t>No</t>
        </is>
      </c>
      <c r="J9" s="8" t="inlineStr">
        <is>
          <t>No</t>
        </is>
      </c>
      <c r="K9" s="8" t="n">
        <v>0</v>
      </c>
    </row>
    <row r="10" ht="15" customHeight="1" s="33">
      <c r="A10" s="11" t="n">
        <v>8</v>
      </c>
      <c r="B10" s="12" t="inlineStr">
        <is>
          <t>Suiza</t>
        </is>
      </c>
      <c r="C10" s="11" t="inlineStr">
        <is>
          <t>SUI</t>
        </is>
      </c>
      <c r="D10" s="11" t="inlineStr">
        <is>
          <t>B</t>
        </is>
      </c>
      <c r="E10" s="11" t="n">
        <v>4</v>
      </c>
      <c r="F10" s="11" t="inlineStr">
        <is>
          <t>UEFA</t>
        </is>
      </c>
      <c r="G10" s="11" t="n">
        <v>17</v>
      </c>
      <c r="H10" s="13" t="n">
        <v>1654.69</v>
      </c>
      <c r="I10" s="11" t="inlineStr">
        <is>
          <t>No</t>
        </is>
      </c>
      <c r="J10" s="11" t="inlineStr">
        <is>
          <t>No</t>
        </is>
      </c>
      <c r="K10" s="11" t="n">
        <v>0</v>
      </c>
    </row>
    <row r="11" ht="15" customHeight="1" s="33">
      <c r="A11" s="8" t="n">
        <v>9</v>
      </c>
      <c r="B11" s="9" t="inlineStr">
        <is>
          <t>Brasil</t>
        </is>
      </c>
      <c r="C11" s="8" t="inlineStr">
        <is>
          <t>BRA</t>
        </is>
      </c>
      <c r="D11" s="8" t="inlineStr">
        <is>
          <t>C</t>
        </is>
      </c>
      <c r="E11" s="8" t="n">
        <v>1</v>
      </c>
      <c r="F11" s="8" t="inlineStr">
        <is>
          <t>CONMEBOL</t>
        </is>
      </c>
      <c r="G11" s="8" t="n">
        <v>5</v>
      </c>
      <c r="H11" s="10" t="n">
        <v>1760.46</v>
      </c>
      <c r="I11" s="8" t="inlineStr">
        <is>
          <t>No</t>
        </is>
      </c>
      <c r="J11" s="8" t="inlineStr">
        <is>
          <t>No</t>
        </is>
      </c>
      <c r="K11" s="8" t="n">
        <v>5</v>
      </c>
    </row>
    <row r="12" ht="15" customHeight="1" s="33">
      <c r="A12" s="11" t="n">
        <v>10</v>
      </c>
      <c r="B12" s="12" t="inlineStr">
        <is>
          <t>Marruecos</t>
        </is>
      </c>
      <c r="C12" s="11" t="inlineStr">
        <is>
          <t>MAR</t>
        </is>
      </c>
      <c r="D12" s="11" t="inlineStr">
        <is>
          <t>C</t>
        </is>
      </c>
      <c r="E12" s="11" t="n">
        <v>2</v>
      </c>
      <c r="F12" s="11" t="inlineStr">
        <is>
          <t>CAF</t>
        </is>
      </c>
      <c r="G12" s="11" t="n">
        <v>11</v>
      </c>
      <c r="H12" s="13" t="n">
        <v>1713.12</v>
      </c>
      <c r="I12" s="11" t="inlineStr">
        <is>
          <t>No</t>
        </is>
      </c>
      <c r="J12" s="11" t="inlineStr">
        <is>
          <t>No</t>
        </is>
      </c>
      <c r="K12" s="11" t="n">
        <v>0</v>
      </c>
    </row>
    <row r="13" ht="15" customHeight="1" s="33">
      <c r="A13" s="8" t="n">
        <v>11</v>
      </c>
      <c r="B13" s="9" t="inlineStr">
        <is>
          <t>Haití</t>
        </is>
      </c>
      <c r="C13" s="8" t="inlineStr">
        <is>
          <t>HAI</t>
        </is>
      </c>
      <c r="D13" s="8" t="inlineStr">
        <is>
          <t>C</t>
        </is>
      </c>
      <c r="E13" s="8" t="n">
        <v>3</v>
      </c>
      <c r="F13" s="8" t="inlineStr">
        <is>
          <t>CONCACAF</t>
        </is>
      </c>
      <c r="G13" s="8" t="n">
        <v>84</v>
      </c>
      <c r="H13" s="14" t="n">
        <v>1350.5</v>
      </c>
      <c r="I13" s="8" t="inlineStr">
        <is>
          <t>No</t>
        </is>
      </c>
      <c r="J13" s="8" t="inlineStr">
        <is>
          <t>No</t>
        </is>
      </c>
      <c r="K13" s="8" t="n">
        <v>0</v>
      </c>
    </row>
    <row r="14" ht="15" customHeight="1" s="33">
      <c r="A14" s="11" t="n">
        <v>12</v>
      </c>
      <c r="B14" s="12" t="inlineStr">
        <is>
          <t>Escocia</t>
        </is>
      </c>
      <c r="C14" s="11" t="inlineStr">
        <is>
          <t>SCO</t>
        </is>
      </c>
      <c r="D14" s="11" t="inlineStr">
        <is>
          <t>C</t>
        </is>
      </c>
      <c r="E14" s="11" t="n">
        <v>4</v>
      </c>
      <c r="F14" s="11" t="inlineStr">
        <is>
          <t>UEFA</t>
        </is>
      </c>
      <c r="G14" s="11" t="n">
        <v>36</v>
      </c>
      <c r="H14" s="13" t="n">
        <v>1506.77</v>
      </c>
      <c r="I14" s="11" t="inlineStr">
        <is>
          <t>No</t>
        </is>
      </c>
      <c r="J14" s="11" t="inlineStr">
        <is>
          <t>No</t>
        </is>
      </c>
      <c r="K14" s="11" t="n">
        <v>0</v>
      </c>
    </row>
    <row r="15" ht="15" customHeight="1" s="33">
      <c r="A15" s="8" t="n">
        <v>13</v>
      </c>
      <c r="B15" s="9" t="inlineStr">
        <is>
          <t>Estados Unidos</t>
        </is>
      </c>
      <c r="C15" s="8" t="inlineStr">
        <is>
          <t>USA</t>
        </is>
      </c>
      <c r="D15" s="8" t="inlineStr">
        <is>
          <t>D</t>
        </is>
      </c>
      <c r="E15" s="8" t="n">
        <v>1</v>
      </c>
      <c r="F15" s="8" t="inlineStr">
        <is>
          <t>CONCACAF</t>
        </is>
      </c>
      <c r="G15" s="8" t="n">
        <v>14</v>
      </c>
      <c r="H15" s="10" t="n">
        <v>1681.88</v>
      </c>
      <c r="I15" s="8" t="inlineStr">
        <is>
          <t>Sí</t>
        </is>
      </c>
      <c r="J15" s="8" t="inlineStr">
        <is>
          <t>No</t>
        </is>
      </c>
      <c r="K15" s="8" t="n">
        <v>0</v>
      </c>
    </row>
    <row r="16" ht="15" customHeight="1" s="33">
      <c r="A16" s="11" t="n">
        <v>14</v>
      </c>
      <c r="B16" s="12" t="inlineStr">
        <is>
          <t>Paraguay</t>
        </is>
      </c>
      <c r="C16" s="11" t="inlineStr">
        <is>
          <t>PAR</t>
        </is>
      </c>
      <c r="D16" s="11" t="inlineStr">
        <is>
          <t>D</t>
        </is>
      </c>
      <c r="E16" s="11" t="n">
        <v>2</v>
      </c>
      <c r="F16" s="11" t="inlineStr">
        <is>
          <t>CONMEBOL</t>
        </is>
      </c>
      <c r="G16" s="11" t="n">
        <v>39</v>
      </c>
      <c r="H16" s="13" t="n">
        <v>1501.5</v>
      </c>
      <c r="I16" s="11" t="inlineStr">
        <is>
          <t>No</t>
        </is>
      </c>
      <c r="J16" s="11" t="inlineStr">
        <is>
          <t>No</t>
        </is>
      </c>
      <c r="K16" s="11" t="n">
        <v>0</v>
      </c>
    </row>
    <row r="17" ht="15" customHeight="1" s="33">
      <c r="A17" s="8" t="n">
        <v>15</v>
      </c>
      <c r="B17" s="9" t="inlineStr">
        <is>
          <t>Australia</t>
        </is>
      </c>
      <c r="C17" s="8" t="inlineStr">
        <is>
          <t>AUS</t>
        </is>
      </c>
      <c r="D17" s="8" t="inlineStr">
        <is>
          <t>D</t>
        </is>
      </c>
      <c r="E17" s="8" t="n">
        <v>3</v>
      </c>
      <c r="F17" s="8" t="inlineStr">
        <is>
          <t>AFC</t>
        </is>
      </c>
      <c r="G17" s="8" t="n">
        <v>26</v>
      </c>
      <c r="H17" s="10" t="n">
        <v>1574.01</v>
      </c>
      <c r="I17" s="8" t="inlineStr">
        <is>
          <t>No</t>
        </is>
      </c>
      <c r="J17" s="8" t="inlineStr">
        <is>
          <t>No</t>
        </is>
      </c>
      <c r="K17" s="8" t="n">
        <v>0</v>
      </c>
    </row>
    <row r="18" ht="15" customHeight="1" s="33">
      <c r="A18" s="11" t="n">
        <v>16</v>
      </c>
      <c r="B18" s="12" t="inlineStr">
        <is>
          <t>Turquía</t>
        </is>
      </c>
      <c r="C18" s="11" t="inlineStr">
        <is>
          <t>TUR</t>
        </is>
      </c>
      <c r="D18" s="11" t="inlineStr">
        <is>
          <t>D</t>
        </is>
      </c>
      <c r="E18" s="11" t="n">
        <v>4</v>
      </c>
      <c r="F18" s="11" t="inlineStr">
        <is>
          <t>UEFA</t>
        </is>
      </c>
      <c r="G18" s="11" t="n">
        <v>25</v>
      </c>
      <c r="H18" s="13" t="n">
        <v>1582.69</v>
      </c>
      <c r="I18" s="11" t="inlineStr">
        <is>
          <t>No</t>
        </is>
      </c>
      <c r="J18" s="11" t="inlineStr">
        <is>
          <t>No</t>
        </is>
      </c>
      <c r="K18" s="11" t="n">
        <v>0</v>
      </c>
    </row>
    <row r="19" ht="15" customHeight="1" s="33">
      <c r="A19" s="8" t="n">
        <v>17</v>
      </c>
      <c r="B19" s="9" t="inlineStr">
        <is>
          <t>Alemania</t>
        </is>
      </c>
      <c r="C19" s="8" t="inlineStr">
        <is>
          <t>GER</t>
        </is>
      </c>
      <c r="D19" s="8" t="inlineStr">
        <is>
          <t>E</t>
        </is>
      </c>
      <c r="E19" s="8" t="n">
        <v>1</v>
      </c>
      <c r="F19" s="8" t="inlineStr">
        <is>
          <t>UEFA</t>
        </is>
      </c>
      <c r="G19" s="8" t="n">
        <v>9</v>
      </c>
      <c r="H19" s="10" t="n">
        <v>1724.14</v>
      </c>
      <c r="I19" s="8" t="inlineStr">
        <is>
          <t>No</t>
        </is>
      </c>
      <c r="J19" s="8" t="inlineStr">
        <is>
          <t>No</t>
        </is>
      </c>
      <c r="K19" s="8" t="n">
        <v>4</v>
      </c>
    </row>
    <row r="20" ht="15" customHeight="1" s="33">
      <c r="A20" s="11" t="n">
        <v>18</v>
      </c>
      <c r="B20" s="12" t="inlineStr">
        <is>
          <t>Curazao</t>
        </is>
      </c>
      <c r="C20" s="11" t="inlineStr">
        <is>
          <t>CUW</t>
        </is>
      </c>
      <c r="D20" s="11" t="inlineStr">
        <is>
          <t>E</t>
        </is>
      </c>
      <c r="E20" s="11" t="n">
        <v>2</v>
      </c>
      <c r="F20" s="11" t="inlineStr">
        <is>
          <t>CONCACAF</t>
        </is>
      </c>
      <c r="G20" s="11" t="n">
        <v>82</v>
      </c>
      <c r="H20" s="13" t="n">
        <v>1357.1</v>
      </c>
      <c r="I20" s="11" t="inlineStr">
        <is>
          <t>No</t>
        </is>
      </c>
      <c r="J20" s="11" t="inlineStr">
        <is>
          <t>Sí</t>
        </is>
      </c>
      <c r="K20" s="11" t="n">
        <v>0</v>
      </c>
    </row>
    <row r="21" ht="15" customHeight="1" s="33">
      <c r="A21" s="8" t="n">
        <v>19</v>
      </c>
      <c r="B21" s="9" t="inlineStr">
        <is>
          <t>Costa de Marfil</t>
        </is>
      </c>
      <c r="C21" s="8" t="inlineStr">
        <is>
          <t>CIV</t>
        </is>
      </c>
      <c r="D21" s="8" t="inlineStr">
        <is>
          <t>E</t>
        </is>
      </c>
      <c r="E21" s="8" t="n">
        <v>3</v>
      </c>
      <c r="F21" s="8" t="inlineStr">
        <is>
          <t>CAF</t>
        </is>
      </c>
      <c r="G21" s="8" t="n">
        <v>42</v>
      </c>
      <c r="H21" s="10" t="n">
        <v>1489.59</v>
      </c>
      <c r="I21" s="8" t="inlineStr">
        <is>
          <t>No</t>
        </is>
      </c>
      <c r="J21" s="8" t="inlineStr">
        <is>
          <t>No</t>
        </is>
      </c>
      <c r="K21" s="8" t="n">
        <v>0</v>
      </c>
    </row>
    <row r="22" ht="15" customHeight="1" s="33">
      <c r="A22" s="11" t="n">
        <v>20</v>
      </c>
      <c r="B22" s="12" t="inlineStr">
        <is>
          <t>Ecuador</t>
        </is>
      </c>
      <c r="C22" s="11" t="inlineStr">
        <is>
          <t>ECU</t>
        </is>
      </c>
      <c r="D22" s="11" t="inlineStr">
        <is>
          <t>E</t>
        </is>
      </c>
      <c r="E22" s="11" t="n">
        <v>4</v>
      </c>
      <c r="F22" s="11" t="inlineStr">
        <is>
          <t>CONMEBOL</t>
        </is>
      </c>
      <c r="G22" s="11" t="n">
        <v>23</v>
      </c>
      <c r="H22" s="13" t="n">
        <v>1591.73</v>
      </c>
      <c r="I22" s="11" t="inlineStr">
        <is>
          <t>No</t>
        </is>
      </c>
      <c r="J22" s="11" t="inlineStr">
        <is>
          <t>No</t>
        </is>
      </c>
      <c r="K22" s="11" t="n">
        <v>0</v>
      </c>
    </row>
    <row r="23" ht="15" customHeight="1" s="33">
      <c r="A23" s="8" t="n">
        <v>21</v>
      </c>
      <c r="B23" s="9" t="inlineStr">
        <is>
          <t>Países Bajos</t>
        </is>
      </c>
      <c r="C23" s="8" t="inlineStr">
        <is>
          <t>NED</t>
        </is>
      </c>
      <c r="D23" s="8" t="inlineStr">
        <is>
          <t>F</t>
        </is>
      </c>
      <c r="E23" s="8" t="n">
        <v>1</v>
      </c>
      <c r="F23" s="8" t="inlineStr">
        <is>
          <t>UEFA</t>
        </is>
      </c>
      <c r="G23" s="8" t="n">
        <v>7</v>
      </c>
      <c r="H23" s="10" t="n">
        <v>1756.26</v>
      </c>
      <c r="I23" s="8" t="inlineStr">
        <is>
          <t>No</t>
        </is>
      </c>
      <c r="J23" s="8" t="inlineStr">
        <is>
          <t>No</t>
        </is>
      </c>
      <c r="K23" s="8" t="n">
        <v>0</v>
      </c>
    </row>
    <row r="24" ht="15" customHeight="1" s="33">
      <c r="A24" s="11" t="n">
        <v>22</v>
      </c>
      <c r="B24" s="12" t="inlineStr">
        <is>
          <t>Japón</t>
        </is>
      </c>
      <c r="C24" s="11" t="inlineStr">
        <is>
          <t>JPN</t>
        </is>
      </c>
      <c r="D24" s="11" t="inlineStr">
        <is>
          <t>F</t>
        </is>
      </c>
      <c r="E24" s="11" t="n">
        <v>2</v>
      </c>
      <c r="F24" s="11" t="inlineStr">
        <is>
          <t>AFC</t>
        </is>
      </c>
      <c r="G24" s="11" t="n">
        <v>18</v>
      </c>
      <c r="H24" s="13" t="n">
        <v>1650.11</v>
      </c>
      <c r="I24" s="11" t="inlineStr">
        <is>
          <t>No</t>
        </is>
      </c>
      <c r="J24" s="11" t="inlineStr">
        <is>
          <t>No</t>
        </is>
      </c>
      <c r="K24" s="11" t="n">
        <v>0</v>
      </c>
    </row>
    <row r="25" ht="15" customHeight="1" s="33">
      <c r="A25" s="8" t="n">
        <v>23</v>
      </c>
      <c r="B25" s="9" t="inlineStr">
        <is>
          <t>Suecia</t>
        </is>
      </c>
      <c r="C25" s="8" t="inlineStr">
        <is>
          <t>SWE</t>
        </is>
      </c>
      <c r="D25" s="8" t="inlineStr">
        <is>
          <t>F</t>
        </is>
      </c>
      <c r="E25" s="8" t="n">
        <v>3</v>
      </c>
      <c r="F25" s="8" t="inlineStr">
        <is>
          <t>UEFA</t>
        </is>
      </c>
      <c r="G25" s="8" t="n">
        <v>43</v>
      </c>
      <c r="H25" s="10" t="n">
        <v>1487.13</v>
      </c>
      <c r="I25" s="8" t="inlineStr">
        <is>
          <t>No</t>
        </is>
      </c>
      <c r="J25" s="8" t="inlineStr">
        <is>
          <t>No</t>
        </is>
      </c>
      <c r="K25" s="8" t="n">
        <v>0</v>
      </c>
    </row>
    <row r="26" ht="15" customHeight="1" s="33">
      <c r="A26" s="11" t="n">
        <v>24</v>
      </c>
      <c r="B26" s="12" t="inlineStr">
        <is>
          <t>Túnez</t>
        </is>
      </c>
      <c r="C26" s="11" t="inlineStr">
        <is>
          <t>TUN</t>
        </is>
      </c>
      <c r="D26" s="11" t="inlineStr">
        <is>
          <t>F</t>
        </is>
      </c>
      <c r="E26" s="11" t="n">
        <v>4</v>
      </c>
      <c r="F26" s="11" t="inlineStr">
        <is>
          <t>CAF</t>
        </is>
      </c>
      <c r="G26" s="11" t="n">
        <v>40</v>
      </c>
      <c r="H26" s="13" t="n">
        <v>1497.13</v>
      </c>
      <c r="I26" s="11" t="inlineStr">
        <is>
          <t>No</t>
        </is>
      </c>
      <c r="J26" s="11" t="inlineStr">
        <is>
          <t>No</t>
        </is>
      </c>
      <c r="K26" s="11" t="n">
        <v>0</v>
      </c>
    </row>
    <row r="27" ht="15" customHeight="1" s="33">
      <c r="A27" s="8" t="n">
        <v>25</v>
      </c>
      <c r="B27" s="9" t="inlineStr">
        <is>
          <t>Bélgica</t>
        </is>
      </c>
      <c r="C27" s="8" t="inlineStr">
        <is>
          <t>BEL</t>
        </is>
      </c>
      <c r="D27" s="8" t="inlineStr">
        <is>
          <t>G</t>
        </is>
      </c>
      <c r="E27" s="8" t="n">
        <v>1</v>
      </c>
      <c r="F27" s="8" t="inlineStr">
        <is>
          <t>UEFA</t>
        </is>
      </c>
      <c r="G27" s="8" t="n">
        <v>8</v>
      </c>
      <c r="H27" s="10" t="n">
        <v>1730.71</v>
      </c>
      <c r="I27" s="8" t="inlineStr">
        <is>
          <t>No</t>
        </is>
      </c>
      <c r="J27" s="8" t="inlineStr">
        <is>
          <t>No</t>
        </is>
      </c>
      <c r="K27" s="8" t="n">
        <v>0</v>
      </c>
    </row>
    <row r="28" ht="15" customHeight="1" s="33">
      <c r="A28" s="11" t="n">
        <v>26</v>
      </c>
      <c r="B28" s="12" t="inlineStr">
        <is>
          <t>Egipto</t>
        </is>
      </c>
      <c r="C28" s="11" t="inlineStr">
        <is>
          <t>EGY</t>
        </is>
      </c>
      <c r="D28" s="11" t="inlineStr">
        <is>
          <t>G</t>
        </is>
      </c>
      <c r="E28" s="11" t="n">
        <v>2</v>
      </c>
      <c r="F28" s="11" t="inlineStr">
        <is>
          <t>CAF</t>
        </is>
      </c>
      <c r="G28" s="11" t="n">
        <v>34</v>
      </c>
      <c r="H28" s="13" t="n">
        <v>1520.68</v>
      </c>
      <c r="I28" s="11" t="inlineStr">
        <is>
          <t>No</t>
        </is>
      </c>
      <c r="J28" s="11" t="inlineStr">
        <is>
          <t>No</t>
        </is>
      </c>
      <c r="K28" s="11" t="n">
        <v>0</v>
      </c>
    </row>
    <row r="29" ht="15" customHeight="1" s="33">
      <c r="A29" s="8" t="n">
        <v>27</v>
      </c>
      <c r="B29" s="9" t="inlineStr">
        <is>
          <t>Irán</t>
        </is>
      </c>
      <c r="C29" s="8" t="inlineStr">
        <is>
          <t>IRN</t>
        </is>
      </c>
      <c r="D29" s="8" t="inlineStr">
        <is>
          <t>G</t>
        </is>
      </c>
      <c r="E29" s="8" t="n">
        <v>3</v>
      </c>
      <c r="F29" s="8" t="inlineStr">
        <is>
          <t>AFC</t>
        </is>
      </c>
      <c r="G29" s="8" t="n">
        <v>20</v>
      </c>
      <c r="H29" s="10" t="n">
        <v>1617.03</v>
      </c>
      <c r="I29" s="8" t="inlineStr">
        <is>
          <t>No</t>
        </is>
      </c>
      <c r="J29" s="8" t="inlineStr">
        <is>
          <t>No</t>
        </is>
      </c>
      <c r="K29" s="8" t="n">
        <v>0</v>
      </c>
    </row>
    <row r="30" ht="15" customHeight="1" s="33">
      <c r="A30" s="11" t="n">
        <v>28</v>
      </c>
      <c r="B30" s="12" t="inlineStr">
        <is>
          <t>Nueva Zelanda</t>
        </is>
      </c>
      <c r="C30" s="11" t="inlineStr">
        <is>
          <t>NZL</t>
        </is>
      </c>
      <c r="D30" s="11" t="inlineStr">
        <is>
          <t>G</t>
        </is>
      </c>
      <c r="E30" s="11" t="n">
        <v>4</v>
      </c>
      <c r="F30" s="11" t="inlineStr">
        <is>
          <t>OFC</t>
        </is>
      </c>
      <c r="G30" s="11" t="n">
        <v>86</v>
      </c>
      <c r="H30" s="13" t="n">
        <v>1343.8</v>
      </c>
      <c r="I30" s="11" t="inlineStr">
        <is>
          <t>No</t>
        </is>
      </c>
      <c r="J30" s="11" t="inlineStr">
        <is>
          <t>No</t>
        </is>
      </c>
      <c r="K30" s="11" t="n">
        <v>0</v>
      </c>
    </row>
    <row r="31" ht="15" customHeight="1" s="33">
      <c r="A31" s="8" t="n">
        <v>29</v>
      </c>
      <c r="B31" s="9" t="inlineStr">
        <is>
          <t>España</t>
        </is>
      </c>
      <c r="C31" s="8" t="inlineStr">
        <is>
          <t>ESP</t>
        </is>
      </c>
      <c r="D31" s="8" t="inlineStr">
        <is>
          <t>H</t>
        </is>
      </c>
      <c r="E31" s="8" t="n">
        <v>1</v>
      </c>
      <c r="F31" s="8" t="inlineStr">
        <is>
          <t>UEFA</t>
        </is>
      </c>
      <c r="G31" s="8" t="n">
        <v>1</v>
      </c>
      <c r="H31" s="10" t="n">
        <v>1877.17</v>
      </c>
      <c r="I31" s="8" t="inlineStr">
        <is>
          <t>No</t>
        </is>
      </c>
      <c r="J31" s="8" t="inlineStr">
        <is>
          <t>No</t>
        </is>
      </c>
      <c r="K31" s="8" t="n">
        <v>1</v>
      </c>
    </row>
    <row r="32" ht="15" customHeight="1" s="33">
      <c r="A32" s="11" t="n">
        <v>30</v>
      </c>
      <c r="B32" s="12" t="inlineStr">
        <is>
          <t>Cabo Verde</t>
        </is>
      </c>
      <c r="C32" s="11" t="inlineStr">
        <is>
          <t>CPV</t>
        </is>
      </c>
      <c r="D32" s="11" t="inlineStr">
        <is>
          <t>H</t>
        </is>
      </c>
      <c r="E32" s="11" t="n">
        <v>2</v>
      </c>
      <c r="F32" s="11" t="inlineStr">
        <is>
          <t>CAF</t>
        </is>
      </c>
      <c r="G32" s="11" t="n">
        <v>68</v>
      </c>
      <c r="H32" s="13" t="n">
        <v>1403.9</v>
      </c>
      <c r="I32" s="11" t="inlineStr">
        <is>
          <t>No</t>
        </is>
      </c>
      <c r="J32" s="11" t="inlineStr">
        <is>
          <t>Sí</t>
        </is>
      </c>
      <c r="K32" s="11" t="n">
        <v>0</v>
      </c>
    </row>
    <row r="33" ht="15" customHeight="1" s="33">
      <c r="A33" s="8" t="n">
        <v>31</v>
      </c>
      <c r="B33" s="9" t="inlineStr">
        <is>
          <t>Arabia Saudita</t>
        </is>
      </c>
      <c r="C33" s="8" t="inlineStr">
        <is>
          <t>KSA</t>
        </is>
      </c>
      <c r="D33" s="8" t="inlineStr">
        <is>
          <t>H</t>
        </is>
      </c>
      <c r="E33" s="8" t="n">
        <v>3</v>
      </c>
      <c r="F33" s="8" t="inlineStr">
        <is>
          <t>AFC</t>
        </is>
      </c>
      <c r="G33" s="15" t="n">
        <v>60</v>
      </c>
      <c r="H33" s="14" t="n">
        <v>1430.6</v>
      </c>
      <c r="I33" s="8" t="inlineStr">
        <is>
          <t>No</t>
        </is>
      </c>
      <c r="J33" s="8" t="inlineStr">
        <is>
          <t>No</t>
        </is>
      </c>
      <c r="K33" s="8" t="n">
        <v>0</v>
      </c>
    </row>
    <row r="34" ht="15" customHeight="1" s="33">
      <c r="A34" s="11" t="n">
        <v>32</v>
      </c>
      <c r="B34" s="12" t="inlineStr">
        <is>
          <t>Uruguay</t>
        </is>
      </c>
      <c r="C34" s="11" t="inlineStr">
        <is>
          <t>URU</t>
        </is>
      </c>
      <c r="D34" s="11" t="inlineStr">
        <is>
          <t>H</t>
        </is>
      </c>
      <c r="E34" s="11" t="n">
        <v>4</v>
      </c>
      <c r="F34" s="11" t="inlineStr">
        <is>
          <t>CONMEBOL</t>
        </is>
      </c>
      <c r="G34" s="11" t="n">
        <v>16</v>
      </c>
      <c r="H34" s="13" t="n">
        <v>1672.61</v>
      </c>
      <c r="I34" s="11" t="inlineStr">
        <is>
          <t>No</t>
        </is>
      </c>
      <c r="J34" s="11" t="inlineStr">
        <is>
          <t>No</t>
        </is>
      </c>
      <c r="K34" s="11" t="n">
        <v>2</v>
      </c>
    </row>
    <row r="35" ht="15" customHeight="1" s="33">
      <c r="A35" s="8" t="n">
        <v>33</v>
      </c>
      <c r="B35" s="9" t="inlineStr">
        <is>
          <t>Francia</t>
        </is>
      </c>
      <c r="C35" s="8" t="inlineStr">
        <is>
          <t>FRA</t>
        </is>
      </c>
      <c r="D35" s="8" t="inlineStr">
        <is>
          <t>I</t>
        </is>
      </c>
      <c r="E35" s="8" t="n">
        <v>1</v>
      </c>
      <c r="F35" s="8" t="inlineStr">
        <is>
          <t>UEFA</t>
        </is>
      </c>
      <c r="G35" s="8" t="n">
        <v>3</v>
      </c>
      <c r="H35" s="10" t="n">
        <v>1870</v>
      </c>
      <c r="I35" s="8" t="inlineStr">
        <is>
          <t>No</t>
        </is>
      </c>
      <c r="J35" s="8" t="inlineStr">
        <is>
          <t>No</t>
        </is>
      </c>
      <c r="K35" s="8" t="n">
        <v>2</v>
      </c>
    </row>
    <row r="36" ht="15" customHeight="1" s="33">
      <c r="A36" s="11" t="n">
        <v>34</v>
      </c>
      <c r="B36" s="12" t="inlineStr">
        <is>
          <t>Senegal</t>
        </is>
      </c>
      <c r="C36" s="11" t="inlineStr">
        <is>
          <t>SEN</t>
        </is>
      </c>
      <c r="D36" s="11" t="inlineStr">
        <is>
          <t>I</t>
        </is>
      </c>
      <c r="E36" s="11" t="n">
        <v>2</v>
      </c>
      <c r="F36" s="11" t="inlineStr">
        <is>
          <t>CAF</t>
        </is>
      </c>
      <c r="G36" s="11" t="n">
        <v>19</v>
      </c>
      <c r="H36" s="13" t="n">
        <v>1648.06</v>
      </c>
      <c r="I36" s="11" t="inlineStr">
        <is>
          <t>No</t>
        </is>
      </c>
      <c r="J36" s="11" t="inlineStr">
        <is>
          <t>No</t>
        </is>
      </c>
      <c r="K36" s="11" t="n">
        <v>0</v>
      </c>
    </row>
    <row r="37" ht="15" customHeight="1" s="33">
      <c r="A37" s="8" t="n">
        <v>35</v>
      </c>
      <c r="B37" s="9" t="inlineStr">
        <is>
          <t>Irak</t>
        </is>
      </c>
      <c r="C37" s="8" t="inlineStr">
        <is>
          <t>IRQ</t>
        </is>
      </c>
      <c r="D37" s="8" t="inlineStr">
        <is>
          <t>I</t>
        </is>
      </c>
      <c r="E37" s="8" t="n">
        <v>3</v>
      </c>
      <c r="F37" s="8" t="inlineStr">
        <is>
          <t>AFC</t>
        </is>
      </c>
      <c r="G37" s="15" t="n">
        <v>58</v>
      </c>
      <c r="H37" s="14" t="n">
        <v>1437.3</v>
      </c>
      <c r="I37" s="8" t="inlineStr">
        <is>
          <t>No</t>
        </is>
      </c>
      <c r="J37" s="8" t="inlineStr">
        <is>
          <t>No</t>
        </is>
      </c>
      <c r="K37" s="8" t="n">
        <v>0</v>
      </c>
    </row>
    <row r="38" ht="15" customHeight="1" s="33">
      <c r="A38" s="11" t="n">
        <v>36</v>
      </c>
      <c r="B38" s="12" t="inlineStr">
        <is>
          <t>Noruega</t>
        </is>
      </c>
      <c r="C38" s="11" t="inlineStr">
        <is>
          <t>NOR</t>
        </is>
      </c>
      <c r="D38" s="11" t="inlineStr">
        <is>
          <t>I</t>
        </is>
      </c>
      <c r="E38" s="11" t="n">
        <v>4</v>
      </c>
      <c r="F38" s="11" t="inlineStr">
        <is>
          <t>UEFA</t>
        </is>
      </c>
      <c r="G38" s="11" t="n">
        <v>29</v>
      </c>
      <c r="H38" s="13" t="n">
        <v>1553.13</v>
      </c>
      <c r="I38" s="11" t="inlineStr">
        <is>
          <t>No</t>
        </is>
      </c>
      <c r="J38" s="11" t="inlineStr">
        <is>
          <t>No</t>
        </is>
      </c>
      <c r="K38" s="11" t="n">
        <v>0</v>
      </c>
    </row>
    <row r="39" ht="15" customHeight="1" s="33">
      <c r="A39" s="8" t="n">
        <v>37</v>
      </c>
      <c r="B39" s="9" t="inlineStr">
        <is>
          <t>Argentina</t>
        </is>
      </c>
      <c r="C39" s="8" t="inlineStr">
        <is>
          <t>ARG</t>
        </is>
      </c>
      <c r="D39" s="8" t="inlineStr">
        <is>
          <t>J</t>
        </is>
      </c>
      <c r="E39" s="8" t="n">
        <v>1</v>
      </c>
      <c r="F39" s="8" t="inlineStr">
        <is>
          <t>CONMEBOL</t>
        </is>
      </c>
      <c r="G39" s="8" t="n">
        <v>2</v>
      </c>
      <c r="H39" s="10" t="n">
        <v>1873.32</v>
      </c>
      <c r="I39" s="8" t="inlineStr">
        <is>
          <t>No</t>
        </is>
      </c>
      <c r="J39" s="8" t="inlineStr">
        <is>
          <t>No</t>
        </is>
      </c>
      <c r="K39" s="8" t="n">
        <v>3</v>
      </c>
    </row>
    <row r="40" ht="15" customHeight="1" s="33">
      <c r="A40" s="11" t="n">
        <v>38</v>
      </c>
      <c r="B40" s="12" t="inlineStr">
        <is>
          <t>Argelia</t>
        </is>
      </c>
      <c r="C40" s="11" t="inlineStr">
        <is>
          <t>ALG</t>
        </is>
      </c>
      <c r="D40" s="11" t="inlineStr">
        <is>
          <t>J</t>
        </is>
      </c>
      <c r="E40" s="11" t="n">
        <v>2</v>
      </c>
      <c r="F40" s="11" t="inlineStr">
        <is>
          <t>CAF</t>
        </is>
      </c>
      <c r="G40" s="11" t="n">
        <v>35</v>
      </c>
      <c r="H40" s="13" t="n">
        <v>1516.37</v>
      </c>
      <c r="I40" s="11" t="inlineStr">
        <is>
          <t>No</t>
        </is>
      </c>
      <c r="J40" s="11" t="inlineStr">
        <is>
          <t>No</t>
        </is>
      </c>
      <c r="K40" s="11" t="n">
        <v>0</v>
      </c>
    </row>
    <row r="41" ht="15" customHeight="1" s="33">
      <c r="A41" s="8" t="n">
        <v>39</v>
      </c>
      <c r="B41" s="9" t="inlineStr">
        <is>
          <t>Austria</t>
        </is>
      </c>
      <c r="C41" s="8" t="inlineStr">
        <is>
          <t>AUT</t>
        </is>
      </c>
      <c r="D41" s="8" t="inlineStr">
        <is>
          <t>J</t>
        </is>
      </c>
      <c r="E41" s="8" t="n">
        <v>3</v>
      </c>
      <c r="F41" s="8" t="inlineStr">
        <is>
          <t>UEFA</t>
        </is>
      </c>
      <c r="G41" s="8" t="n">
        <v>24</v>
      </c>
      <c r="H41" s="10" t="n">
        <v>1585.5</v>
      </c>
      <c r="I41" s="8" t="inlineStr">
        <is>
          <t>No</t>
        </is>
      </c>
      <c r="J41" s="8" t="inlineStr">
        <is>
          <t>No</t>
        </is>
      </c>
      <c r="K41" s="8" t="n">
        <v>0</v>
      </c>
    </row>
    <row r="42" ht="15" customHeight="1" s="33">
      <c r="A42" s="11" t="n">
        <v>40</v>
      </c>
      <c r="B42" s="12" t="inlineStr">
        <is>
          <t>Jordania</t>
        </is>
      </c>
      <c r="C42" s="11" t="inlineStr">
        <is>
          <t>JOR</t>
        </is>
      </c>
      <c r="D42" s="11" t="inlineStr">
        <is>
          <t>J</t>
        </is>
      </c>
      <c r="E42" s="11" t="n">
        <v>4</v>
      </c>
      <c r="F42" s="11" t="inlineStr">
        <is>
          <t>AFC</t>
        </is>
      </c>
      <c r="G42" s="11" t="n">
        <v>66</v>
      </c>
      <c r="H42" s="13" t="n">
        <v>1410.6</v>
      </c>
      <c r="I42" s="11" t="inlineStr">
        <is>
          <t>No</t>
        </is>
      </c>
      <c r="J42" s="11" t="inlineStr">
        <is>
          <t>Sí</t>
        </is>
      </c>
      <c r="K42" s="11" t="n">
        <v>0</v>
      </c>
    </row>
    <row r="43" ht="15" customHeight="1" s="33">
      <c r="A43" s="8" t="n">
        <v>41</v>
      </c>
      <c r="B43" s="9" t="inlineStr">
        <is>
          <t>Portugal</t>
        </is>
      </c>
      <c r="C43" s="8" t="inlineStr">
        <is>
          <t>POR</t>
        </is>
      </c>
      <c r="D43" s="8" t="inlineStr">
        <is>
          <t>K</t>
        </is>
      </c>
      <c r="E43" s="8" t="n">
        <v>1</v>
      </c>
      <c r="F43" s="8" t="inlineStr">
        <is>
          <t>UEFA</t>
        </is>
      </c>
      <c r="G43" s="8" t="n">
        <v>6</v>
      </c>
      <c r="H43" s="10" t="n">
        <v>1760.39</v>
      </c>
      <c r="I43" s="8" t="inlineStr">
        <is>
          <t>No</t>
        </is>
      </c>
      <c r="J43" s="8" t="inlineStr">
        <is>
          <t>No</t>
        </is>
      </c>
      <c r="K43" s="8" t="n">
        <v>0</v>
      </c>
    </row>
    <row r="44" ht="15" customHeight="1" s="33">
      <c r="A44" s="11" t="n">
        <v>42</v>
      </c>
      <c r="B44" s="12" t="inlineStr">
        <is>
          <t>RD Congo</t>
        </is>
      </c>
      <c r="C44" s="11" t="inlineStr">
        <is>
          <t>COD</t>
        </is>
      </c>
      <c r="D44" s="11" t="inlineStr">
        <is>
          <t>K</t>
        </is>
      </c>
      <c r="E44" s="11" t="n">
        <v>2</v>
      </c>
      <c r="F44" s="11" t="inlineStr">
        <is>
          <t>CAF</t>
        </is>
      </c>
      <c r="G44" s="11" t="n">
        <v>56</v>
      </c>
      <c r="H44" s="13" t="n">
        <v>1442.51</v>
      </c>
      <c r="I44" s="11" t="inlineStr">
        <is>
          <t>No</t>
        </is>
      </c>
      <c r="J44" s="11" t="inlineStr">
        <is>
          <t>No</t>
        </is>
      </c>
      <c r="K44" s="11" t="n">
        <v>0</v>
      </c>
    </row>
    <row r="45" ht="15" customHeight="1" s="33">
      <c r="A45" s="8" t="n">
        <v>43</v>
      </c>
      <c r="B45" s="9" t="inlineStr">
        <is>
          <t>Uzbekistán</t>
        </is>
      </c>
      <c r="C45" s="8" t="inlineStr">
        <is>
          <t>UZB</t>
        </is>
      </c>
      <c r="D45" s="8" t="inlineStr">
        <is>
          <t>K</t>
        </is>
      </c>
      <c r="E45" s="8" t="n">
        <v>3</v>
      </c>
      <c r="F45" s="8" t="inlineStr">
        <is>
          <t>AFC</t>
        </is>
      </c>
      <c r="G45" s="15" t="n">
        <v>50</v>
      </c>
      <c r="H45" s="14" t="n">
        <v>1464</v>
      </c>
      <c r="I45" s="8" t="inlineStr">
        <is>
          <t>No</t>
        </is>
      </c>
      <c r="J45" s="8" t="inlineStr">
        <is>
          <t>Sí</t>
        </is>
      </c>
      <c r="K45" s="8" t="n">
        <v>0</v>
      </c>
    </row>
    <row r="46" ht="15" customHeight="1" s="33">
      <c r="A46" s="11" t="n">
        <v>44</v>
      </c>
      <c r="B46" s="12" t="inlineStr">
        <is>
          <t>Colombia</t>
        </is>
      </c>
      <c r="C46" s="11" t="inlineStr">
        <is>
          <t>COL</t>
        </is>
      </c>
      <c r="D46" s="11" t="inlineStr">
        <is>
          <t>K</t>
        </is>
      </c>
      <c r="E46" s="11" t="n">
        <v>4</v>
      </c>
      <c r="F46" s="11" t="inlineStr">
        <is>
          <t>CONMEBOL</t>
        </is>
      </c>
      <c r="G46" s="11" t="n">
        <v>13</v>
      </c>
      <c r="H46" s="13" t="n">
        <v>1701.29</v>
      </c>
      <c r="I46" s="11" t="inlineStr">
        <is>
          <t>No</t>
        </is>
      </c>
      <c r="J46" s="11" t="inlineStr">
        <is>
          <t>No</t>
        </is>
      </c>
      <c r="K46" s="11" t="n">
        <v>0</v>
      </c>
    </row>
    <row r="47" ht="15" customHeight="1" s="33">
      <c r="A47" s="8" t="n">
        <v>45</v>
      </c>
      <c r="B47" s="9" t="inlineStr">
        <is>
          <t>Inglaterra</t>
        </is>
      </c>
      <c r="C47" s="8" t="inlineStr">
        <is>
          <t>ENG</t>
        </is>
      </c>
      <c r="D47" s="8" t="inlineStr">
        <is>
          <t>L</t>
        </is>
      </c>
      <c r="E47" s="8" t="n">
        <v>1</v>
      </c>
      <c r="F47" s="8" t="inlineStr">
        <is>
          <t>UEFA</t>
        </is>
      </c>
      <c r="G47" s="8" t="n">
        <v>4</v>
      </c>
      <c r="H47" s="10" t="n">
        <v>1834.11</v>
      </c>
      <c r="I47" s="8" t="inlineStr">
        <is>
          <t>No</t>
        </is>
      </c>
      <c r="J47" s="8" t="inlineStr">
        <is>
          <t>No</t>
        </is>
      </c>
      <c r="K47" s="8" t="n">
        <v>1</v>
      </c>
    </row>
    <row r="48" ht="15" customHeight="1" s="33">
      <c r="A48" s="11" t="n">
        <v>46</v>
      </c>
      <c r="B48" s="12" t="inlineStr">
        <is>
          <t>Croacia</t>
        </is>
      </c>
      <c r="C48" s="11" t="inlineStr">
        <is>
          <t>CRO</t>
        </is>
      </c>
      <c r="D48" s="11" t="inlineStr">
        <is>
          <t>L</t>
        </is>
      </c>
      <c r="E48" s="11" t="n">
        <v>2</v>
      </c>
      <c r="F48" s="11" t="inlineStr">
        <is>
          <t>UEFA</t>
        </is>
      </c>
      <c r="G48" s="11" t="n">
        <v>10</v>
      </c>
      <c r="H48" s="13" t="n">
        <v>1716.89</v>
      </c>
      <c r="I48" s="11" t="inlineStr">
        <is>
          <t>No</t>
        </is>
      </c>
      <c r="J48" s="11" t="inlineStr">
        <is>
          <t>No</t>
        </is>
      </c>
      <c r="K48" s="11" t="n">
        <v>0</v>
      </c>
    </row>
    <row r="49" ht="15" customHeight="1" s="33">
      <c r="A49" s="8" t="n">
        <v>47</v>
      </c>
      <c r="B49" s="9" t="inlineStr">
        <is>
          <t>Ghana</t>
        </is>
      </c>
      <c r="C49" s="8" t="inlineStr">
        <is>
          <t>GHA</t>
        </is>
      </c>
      <c r="D49" s="8" t="inlineStr">
        <is>
          <t>L</t>
        </is>
      </c>
      <c r="E49" s="8" t="n">
        <v>3</v>
      </c>
      <c r="F49" s="8" t="inlineStr">
        <is>
          <t>CAF</t>
        </is>
      </c>
      <c r="G49" s="8" t="n">
        <v>72</v>
      </c>
      <c r="H49" s="14" t="n">
        <v>1390.5</v>
      </c>
      <c r="I49" s="8" t="inlineStr">
        <is>
          <t>No</t>
        </is>
      </c>
      <c r="J49" s="8" t="inlineStr">
        <is>
          <t>No</t>
        </is>
      </c>
      <c r="K49" s="8" t="n">
        <v>0</v>
      </c>
    </row>
    <row r="50" ht="15" customHeight="1" s="33">
      <c r="A50" s="11" t="n">
        <v>48</v>
      </c>
      <c r="B50" s="12" t="inlineStr">
        <is>
          <t>Panamá</t>
        </is>
      </c>
      <c r="C50" s="11" t="inlineStr">
        <is>
          <t>PAN</t>
        </is>
      </c>
      <c r="D50" s="11" t="inlineStr">
        <is>
          <t>L</t>
        </is>
      </c>
      <c r="E50" s="11" t="n">
        <v>4</v>
      </c>
      <c r="F50" s="11" t="inlineStr">
        <is>
          <t>CONCACAF</t>
        </is>
      </c>
      <c r="G50" s="11" t="n">
        <v>30</v>
      </c>
      <c r="H50" s="13" t="n">
        <v>1540.42</v>
      </c>
      <c r="I50" s="11" t="inlineStr">
        <is>
          <t>No</t>
        </is>
      </c>
      <c r="J50" s="11" t="inlineStr">
        <is>
          <t>No</t>
        </is>
      </c>
      <c r="K50" s="11" t="n">
        <v>0</v>
      </c>
    </row>
    <row r="51" ht="15.75" customHeight="1" s="33"/>
    <row r="52" ht="15" customHeight="1" s="33">
      <c r="B52" s="32" t="inlineStr">
        <is>
          <t>Fuente ranking: FIFA/Coca-Cola 19-nov-2025 (foto del sorteo). Celdas amarillas = puntos a completar. Confederación, sede, debutante y títulos verificados.</t>
        </is>
      </c>
    </row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1:K1"/>
    <mergeCell ref="B52:K52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4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/>
  <cols>
    <col width="5" customWidth="1" style="33" min="1" max="1"/>
    <col width="22" customWidth="1" style="33" min="2" max="2"/>
    <col width="8" customWidth="1" style="33" min="3" max="3"/>
    <col width="9" customWidth="1" style="33" min="4" max="4"/>
    <col width="7" customWidth="1" style="33" min="5" max="5"/>
    <col width="30" customWidth="1" style="33" min="6" max="6"/>
    <col width="8" customWidth="1" style="33" min="7" max="7"/>
    <col width="9" customWidth="1" style="33" min="8" max="9"/>
    <col width="6" customWidth="1" style="33" min="10" max="13"/>
    <col width="7" customWidth="1" style="33" min="14" max="16"/>
    <col width="10" customWidth="1" style="33" min="17" max="17"/>
    <col width="8" customWidth="1" style="33" min="18" max="18"/>
    <col width="8.7109375" customWidth="1" style="33" min="19" max="26"/>
  </cols>
  <sheetData>
    <row r="1" ht="24" customHeight="1" s="33">
      <c r="A1" s="35" t="inlineStr">
        <is>
          <t>Historial mundialista por selección  (apariciones incl. 2026; récord histórico acumulado hasta 2022)</t>
        </is>
      </c>
    </row>
    <row r="2" ht="32.25" customHeight="1" s="33">
      <c r="A2" s="16" t="inlineStr">
        <is>
          <t>N°</t>
        </is>
      </c>
      <c r="B2" s="16" t="inlineStr">
        <is>
          <t>País</t>
        </is>
      </c>
      <c r="C2" s="16" t="inlineStr">
        <is>
          <t>Conf.</t>
        </is>
      </c>
      <c r="D2" s="16" t="inlineStr">
        <is>
          <t>Aparic.
(incl. 2026)</t>
        </is>
      </c>
      <c r="E2" s="16" t="inlineStr">
        <is>
          <t>Debut</t>
        </is>
      </c>
      <c r="F2" s="16" t="inlineStr">
        <is>
          <t>Mejor resultado (hist.)</t>
        </is>
      </c>
      <c r="G2" s="16" t="inlineStr">
        <is>
          <t>Títulos</t>
        </is>
      </c>
      <c r="H2" s="16" t="inlineStr">
        <is>
          <t>Subcamp.</t>
        </is>
      </c>
      <c r="I2" s="16" t="inlineStr">
        <is>
          <t>3er puesto</t>
        </is>
      </c>
      <c r="J2" s="16" t="inlineStr">
        <is>
          <t>PJ</t>
        </is>
      </c>
      <c r="K2" s="16" t="inlineStr">
        <is>
          <t>PG</t>
        </is>
      </c>
      <c r="L2" s="16" t="inlineStr">
        <is>
          <t>PE</t>
        </is>
      </c>
      <c r="M2" s="16" t="inlineStr">
        <is>
          <t>PP</t>
        </is>
      </c>
      <c r="N2" s="16" t="inlineStr">
        <is>
          <t>GF</t>
        </is>
      </c>
      <c r="O2" s="16" t="inlineStr">
        <is>
          <t>GC</t>
        </is>
      </c>
      <c r="P2" s="16" t="inlineStr">
        <is>
          <t>DG</t>
        </is>
      </c>
      <c r="Q2" s="16" t="inlineStr">
        <is>
          <t>Pts (3-1-0)</t>
        </is>
      </c>
      <c r="R2" s="16" t="inlineStr">
        <is>
          <t>% Vict.</t>
        </is>
      </c>
    </row>
    <row r="3" ht="15" customHeight="1" s="33">
      <c r="A3" s="8" t="n">
        <v>1</v>
      </c>
      <c r="B3" s="17" t="inlineStr">
        <is>
          <t>México</t>
        </is>
      </c>
      <c r="C3" s="8" t="inlineStr">
        <is>
          <t>CONCACAF</t>
        </is>
      </c>
      <c r="D3" s="8" t="n">
        <v>18</v>
      </c>
      <c r="E3" s="18" t="n">
        <v>1930</v>
      </c>
      <c r="F3" s="17" t="inlineStr">
        <is>
          <t>Cuartos de final (1970, 1986)</t>
        </is>
      </c>
      <c r="G3" s="8" t="n">
        <v>0</v>
      </c>
      <c r="H3" s="8" t="n">
        <v>0</v>
      </c>
      <c r="I3" s="8" t="n">
        <v>0</v>
      </c>
      <c r="J3" s="8" t="n">
        <v>60</v>
      </c>
      <c r="K3" s="8" t="n">
        <v>17</v>
      </c>
      <c r="L3" s="8" t="n">
        <v>15</v>
      </c>
      <c r="M3" s="8" t="n">
        <v>28</v>
      </c>
      <c r="N3" s="8" t="n">
        <v>62</v>
      </c>
      <c r="O3" s="8" t="n">
        <v>101</v>
      </c>
      <c r="P3" s="8">
        <f>N3-O3</f>
        <v/>
      </c>
      <c r="Q3" s="8">
        <f>3*K3+L3</f>
        <v/>
      </c>
      <c r="R3" s="19">
        <f>IF(J3=0,"",K3/J3)</f>
        <v/>
      </c>
    </row>
    <row r="4" ht="15" customHeight="1" s="33">
      <c r="A4" s="8" t="n">
        <v>2</v>
      </c>
      <c r="B4" s="17" t="inlineStr">
        <is>
          <t>Sudáfrica</t>
        </is>
      </c>
      <c r="C4" s="8" t="inlineStr">
        <is>
          <t>CAF</t>
        </is>
      </c>
      <c r="D4" s="8" t="n">
        <v>4</v>
      </c>
      <c r="E4" s="18" t="n">
        <v>1998</v>
      </c>
      <c r="F4" s="17" t="inlineStr">
        <is>
          <t>Fase de grupos</t>
        </is>
      </c>
      <c r="G4" s="8" t="n">
        <v>0</v>
      </c>
      <c r="H4" s="8" t="n">
        <v>0</v>
      </c>
      <c r="I4" s="8" t="n">
        <v>0</v>
      </c>
      <c r="J4" s="8" t="n">
        <v>9</v>
      </c>
      <c r="K4" s="8" t="n">
        <v>2</v>
      </c>
      <c r="L4" s="8" t="n">
        <v>4</v>
      </c>
      <c r="M4" s="8" t="n">
        <v>3</v>
      </c>
      <c r="N4" s="8" t="n">
        <v>11</v>
      </c>
      <c r="O4" s="8" t="n">
        <v>16</v>
      </c>
      <c r="P4" s="8">
        <f>N4-O4</f>
        <v/>
      </c>
      <c r="Q4" s="8">
        <f>3*K4+L4</f>
        <v/>
      </c>
      <c r="R4" s="19">
        <f>IF(J4=0,"",K4/J4)</f>
        <v/>
      </c>
    </row>
    <row r="5" ht="15" customHeight="1" s="33">
      <c r="A5" s="8" t="n">
        <v>3</v>
      </c>
      <c r="B5" s="17" t="inlineStr">
        <is>
          <t>Corea del Sur</t>
        </is>
      </c>
      <c r="C5" s="8" t="inlineStr">
        <is>
          <t>AFC</t>
        </is>
      </c>
      <c r="D5" s="8" t="n">
        <v>12</v>
      </c>
      <c r="E5" s="18" t="n">
        <v>1954</v>
      </c>
      <c r="F5" s="17" t="inlineStr">
        <is>
          <t>Cuarto puesto (2002)</t>
        </is>
      </c>
      <c r="G5" s="8" t="n">
        <v>0</v>
      </c>
      <c r="H5" s="8" t="n">
        <v>0</v>
      </c>
      <c r="I5" s="8" t="n">
        <v>0</v>
      </c>
      <c r="J5" s="8" t="n">
        <v>38</v>
      </c>
      <c r="K5" s="8" t="n">
        <v>7</v>
      </c>
      <c r="L5" s="8" t="n">
        <v>10</v>
      </c>
      <c r="M5" s="8" t="n">
        <v>21</v>
      </c>
      <c r="N5" s="8" t="n">
        <v>39</v>
      </c>
      <c r="O5" s="8" t="n">
        <v>78</v>
      </c>
      <c r="P5" s="8">
        <f>N5-O5</f>
        <v/>
      </c>
      <c r="Q5" s="8">
        <f>3*K5+L5</f>
        <v/>
      </c>
      <c r="R5" s="19">
        <f>IF(J5=0,"",K5/J5)</f>
        <v/>
      </c>
    </row>
    <row r="6" ht="15" customHeight="1" s="33">
      <c r="A6" s="8" t="n">
        <v>4</v>
      </c>
      <c r="B6" s="17" t="inlineStr">
        <is>
          <t>Chequia</t>
        </is>
      </c>
      <c r="C6" s="8" t="inlineStr">
        <is>
          <t>UEFA</t>
        </is>
      </c>
      <c r="D6" s="8" t="n">
        <v>10</v>
      </c>
      <c r="E6" s="18" t="n">
        <v>1934</v>
      </c>
      <c r="F6" s="17" t="inlineStr">
        <is>
          <t>Subcampeón (1934, 1962)</t>
        </is>
      </c>
      <c r="G6" s="8" t="n">
        <v>0</v>
      </c>
      <c r="H6" s="8" t="n">
        <v>2</v>
      </c>
      <c r="I6" s="8" t="n">
        <v>0</v>
      </c>
      <c r="J6" s="8" t="n">
        <v>33</v>
      </c>
      <c r="K6" s="8" t="n">
        <v>12</v>
      </c>
      <c r="L6" s="8" t="n">
        <v>5</v>
      </c>
      <c r="M6" s="8" t="n">
        <v>16</v>
      </c>
      <c r="N6" s="8" t="n">
        <v>47</v>
      </c>
      <c r="O6" s="8" t="n">
        <v>49</v>
      </c>
      <c r="P6" s="8">
        <f>N6-O6</f>
        <v/>
      </c>
      <c r="Q6" s="8">
        <f>3*K6+L6</f>
        <v/>
      </c>
      <c r="R6" s="19">
        <f>IF(J6=0,"",K6/J6)</f>
        <v/>
      </c>
    </row>
    <row r="7" ht="15" customHeight="1" s="33">
      <c r="A7" s="11" t="n">
        <v>5</v>
      </c>
      <c r="B7" s="20" t="inlineStr">
        <is>
          <t>Canadá</t>
        </is>
      </c>
      <c r="C7" s="11" t="inlineStr">
        <is>
          <t>CONCACAF</t>
        </is>
      </c>
      <c r="D7" s="11" t="n">
        <v>3</v>
      </c>
      <c r="E7" s="21" t="n">
        <v>1986</v>
      </c>
      <c r="F7" s="20" t="inlineStr">
        <is>
          <t>Fase de grupos</t>
        </is>
      </c>
      <c r="G7" s="11" t="n">
        <v>0</v>
      </c>
      <c r="H7" s="11" t="n">
        <v>0</v>
      </c>
      <c r="I7" s="11" t="n">
        <v>0</v>
      </c>
      <c r="J7" s="11" t="n">
        <v>6</v>
      </c>
      <c r="K7" s="11" t="n">
        <v>0</v>
      </c>
      <c r="L7" s="11" t="n">
        <v>0</v>
      </c>
      <c r="M7" s="11" t="n">
        <v>6</v>
      </c>
      <c r="N7" s="11" t="n">
        <v>2</v>
      </c>
      <c r="O7" s="11" t="n">
        <v>12</v>
      </c>
      <c r="P7" s="11">
        <f>N7-O7</f>
        <v/>
      </c>
      <c r="Q7" s="11">
        <f>3*K7+L7</f>
        <v/>
      </c>
      <c r="R7" s="22">
        <f>IF(J7=0,"",K7/J7)</f>
        <v/>
      </c>
    </row>
    <row r="8" ht="15" customHeight="1" s="33">
      <c r="A8" s="11" t="n">
        <v>6</v>
      </c>
      <c r="B8" s="20" t="inlineStr">
        <is>
          <t>Bosnia y Herzegovina</t>
        </is>
      </c>
      <c r="C8" s="11" t="inlineStr">
        <is>
          <t>UEFA</t>
        </is>
      </c>
      <c r="D8" s="11" t="n">
        <v>2</v>
      </c>
      <c r="E8" s="21" t="n">
        <v>2014</v>
      </c>
      <c r="F8" s="20" t="inlineStr">
        <is>
          <t>Fase de grupos</t>
        </is>
      </c>
      <c r="G8" s="11" t="n">
        <v>0</v>
      </c>
      <c r="H8" s="11" t="n">
        <v>0</v>
      </c>
      <c r="I8" s="11" t="n">
        <v>0</v>
      </c>
      <c r="J8" s="11" t="n">
        <v>3</v>
      </c>
      <c r="K8" s="11" t="n">
        <v>1</v>
      </c>
      <c r="L8" s="11" t="n">
        <v>0</v>
      </c>
      <c r="M8" s="11" t="n">
        <v>2</v>
      </c>
      <c r="N8" s="11" t="n">
        <v>4</v>
      </c>
      <c r="O8" s="11" t="n">
        <v>4</v>
      </c>
      <c r="P8" s="11">
        <f>N8-O8</f>
        <v/>
      </c>
      <c r="Q8" s="11">
        <f>3*K8+L8</f>
        <v/>
      </c>
      <c r="R8" s="22">
        <f>IF(J8=0,"",K8/J8)</f>
        <v/>
      </c>
    </row>
    <row r="9" ht="15" customHeight="1" s="33">
      <c r="A9" s="11" t="n">
        <v>7</v>
      </c>
      <c r="B9" s="20" t="inlineStr">
        <is>
          <t>Catar</t>
        </is>
      </c>
      <c r="C9" s="11" t="inlineStr">
        <is>
          <t>AFC</t>
        </is>
      </c>
      <c r="D9" s="11" t="n">
        <v>2</v>
      </c>
      <c r="E9" s="21" t="n">
        <v>2022</v>
      </c>
      <c r="F9" s="20" t="inlineStr">
        <is>
          <t>Fase de grupos</t>
        </is>
      </c>
      <c r="G9" s="11" t="n">
        <v>0</v>
      </c>
      <c r="H9" s="11" t="n">
        <v>0</v>
      </c>
      <c r="I9" s="11" t="n">
        <v>0</v>
      </c>
      <c r="J9" s="11" t="n">
        <v>3</v>
      </c>
      <c r="K9" s="11" t="n">
        <v>0</v>
      </c>
      <c r="L9" s="11" t="n">
        <v>0</v>
      </c>
      <c r="M9" s="11" t="n">
        <v>3</v>
      </c>
      <c r="N9" s="11" t="n">
        <v>1</v>
      </c>
      <c r="O9" s="11" t="n">
        <v>7</v>
      </c>
      <c r="P9" s="11">
        <f>N9-O9</f>
        <v/>
      </c>
      <c r="Q9" s="11">
        <f>3*K9+L9</f>
        <v/>
      </c>
      <c r="R9" s="22">
        <f>IF(J9=0,"",K9/J9)</f>
        <v/>
      </c>
    </row>
    <row r="10" ht="15" customHeight="1" s="33">
      <c r="A10" s="11" t="n">
        <v>8</v>
      </c>
      <c r="B10" s="20" t="inlineStr">
        <is>
          <t>Suiza</t>
        </is>
      </c>
      <c r="C10" s="11" t="inlineStr">
        <is>
          <t>UEFA</t>
        </is>
      </c>
      <c r="D10" s="11" t="n">
        <v>13</v>
      </c>
      <c r="E10" s="21" t="n">
        <v>1934</v>
      </c>
      <c r="F10" s="20" t="inlineStr">
        <is>
          <t>Cuartos de final (1934, 1938, 1954)</t>
        </is>
      </c>
      <c r="G10" s="11" t="n">
        <v>0</v>
      </c>
      <c r="H10" s="11" t="n">
        <v>0</v>
      </c>
      <c r="I10" s="11" t="n">
        <v>0</v>
      </c>
      <c r="J10" s="11" t="n">
        <v>41</v>
      </c>
      <c r="K10" s="11" t="n">
        <v>14</v>
      </c>
      <c r="L10" s="11" t="n">
        <v>8</v>
      </c>
      <c r="M10" s="11" t="n">
        <v>19</v>
      </c>
      <c r="N10" s="11" t="n">
        <v>55</v>
      </c>
      <c r="O10" s="11" t="n">
        <v>73</v>
      </c>
      <c r="P10" s="11">
        <f>N10-O10</f>
        <v/>
      </c>
      <c r="Q10" s="11">
        <f>3*K10+L10</f>
        <v/>
      </c>
      <c r="R10" s="22">
        <f>IF(J10=0,"",K10/J10)</f>
        <v/>
      </c>
    </row>
    <row r="11" ht="15" customHeight="1" s="33">
      <c r="A11" s="8" t="n">
        <v>9</v>
      </c>
      <c r="B11" s="17" t="inlineStr">
        <is>
          <t>Brasil</t>
        </is>
      </c>
      <c r="C11" s="8" t="inlineStr">
        <is>
          <t>CONMEBOL</t>
        </is>
      </c>
      <c r="D11" s="8" t="n">
        <v>23</v>
      </c>
      <c r="E11" s="18" t="n">
        <v>1930</v>
      </c>
      <c r="F11" s="17" t="inlineStr">
        <is>
          <t>Campeón (1958, 1962, 1970, 1994, 2002)</t>
        </is>
      </c>
      <c r="G11" s="8" t="n">
        <v>5</v>
      </c>
      <c r="H11" s="8" t="n">
        <v>2</v>
      </c>
      <c r="I11" s="8" t="n">
        <v>2</v>
      </c>
      <c r="J11" s="8" t="n">
        <v>114</v>
      </c>
      <c r="K11" s="8" t="n">
        <v>76</v>
      </c>
      <c r="L11" s="8" t="n">
        <v>19</v>
      </c>
      <c r="M11" s="8" t="n">
        <v>19</v>
      </c>
      <c r="N11" s="8" t="n">
        <v>237</v>
      </c>
      <c r="O11" s="8" t="n">
        <v>108</v>
      </c>
      <c r="P11" s="8">
        <f>N11-O11</f>
        <v/>
      </c>
      <c r="Q11" s="8">
        <f>3*K11+L11</f>
        <v/>
      </c>
      <c r="R11" s="19">
        <f>IF(J11=0,"",K11/J11)</f>
        <v/>
      </c>
    </row>
    <row r="12" ht="15" customHeight="1" s="33">
      <c r="A12" s="8" t="n">
        <v>10</v>
      </c>
      <c r="B12" s="17" t="inlineStr">
        <is>
          <t>Marruecos</t>
        </is>
      </c>
      <c r="C12" s="8" t="inlineStr">
        <is>
          <t>CAF</t>
        </is>
      </c>
      <c r="D12" s="8" t="n">
        <v>7</v>
      </c>
      <c r="E12" s="18" t="n">
        <v>1970</v>
      </c>
      <c r="F12" s="17" t="inlineStr">
        <is>
          <t>Cuarto puesto (2022)</t>
        </is>
      </c>
      <c r="G12" s="8" t="n">
        <v>0</v>
      </c>
      <c r="H12" s="8" t="n">
        <v>0</v>
      </c>
      <c r="I12" s="8" t="n">
        <v>0</v>
      </c>
      <c r="J12" s="8" t="n">
        <v>23</v>
      </c>
      <c r="K12" s="8" t="n">
        <v>5</v>
      </c>
      <c r="L12" s="8" t="n">
        <v>7</v>
      </c>
      <c r="M12" s="8" t="n">
        <v>11</v>
      </c>
      <c r="N12" s="8" t="n">
        <v>20</v>
      </c>
      <c r="O12" s="8" t="n">
        <v>27</v>
      </c>
      <c r="P12" s="8">
        <f>N12-O12</f>
        <v/>
      </c>
      <c r="Q12" s="8">
        <f>3*K12+L12</f>
        <v/>
      </c>
      <c r="R12" s="19">
        <f>IF(J12=0,"",K12/J12)</f>
        <v/>
      </c>
    </row>
    <row r="13" ht="15" customHeight="1" s="33">
      <c r="A13" s="8" t="n">
        <v>11</v>
      </c>
      <c r="B13" s="17" t="inlineStr">
        <is>
          <t>Haití</t>
        </is>
      </c>
      <c r="C13" s="8" t="inlineStr">
        <is>
          <t>CONCACAF</t>
        </is>
      </c>
      <c r="D13" s="8" t="n">
        <v>2</v>
      </c>
      <c r="E13" s="18" t="n">
        <v>1974</v>
      </c>
      <c r="F13" s="17" t="inlineStr">
        <is>
          <t>Fase de grupos</t>
        </is>
      </c>
      <c r="G13" s="8" t="n">
        <v>0</v>
      </c>
      <c r="H13" s="8" t="n">
        <v>0</v>
      </c>
      <c r="I13" s="8" t="n">
        <v>0</v>
      </c>
      <c r="J13" s="8" t="n">
        <v>3</v>
      </c>
      <c r="K13" s="8" t="n">
        <v>0</v>
      </c>
      <c r="L13" s="8" t="n">
        <v>0</v>
      </c>
      <c r="M13" s="8" t="n">
        <v>3</v>
      </c>
      <c r="N13" s="8" t="n">
        <v>2</v>
      </c>
      <c r="O13" s="8" t="n">
        <v>14</v>
      </c>
      <c r="P13" s="8">
        <f>N13-O13</f>
        <v/>
      </c>
      <c r="Q13" s="8">
        <f>3*K13+L13</f>
        <v/>
      </c>
      <c r="R13" s="19">
        <f>IF(J13=0,"",K13/J13)</f>
        <v/>
      </c>
    </row>
    <row r="14" ht="15" customHeight="1" s="33">
      <c r="A14" s="8" t="n">
        <v>12</v>
      </c>
      <c r="B14" s="17" t="inlineStr">
        <is>
          <t>Escocia</t>
        </is>
      </c>
      <c r="C14" s="8" t="inlineStr">
        <is>
          <t>UEFA</t>
        </is>
      </c>
      <c r="D14" s="8" t="n">
        <v>9</v>
      </c>
      <c r="E14" s="18" t="n">
        <v>1954</v>
      </c>
      <c r="F14" s="17" t="inlineStr">
        <is>
          <t>Fase de grupos</t>
        </is>
      </c>
      <c r="G14" s="8" t="n">
        <v>0</v>
      </c>
      <c r="H14" s="8" t="n">
        <v>0</v>
      </c>
      <c r="I14" s="8" t="n">
        <v>0</v>
      </c>
      <c r="J14" s="8" t="n">
        <v>23</v>
      </c>
      <c r="K14" s="8" t="n">
        <v>4</v>
      </c>
      <c r="L14" s="8" t="n">
        <v>7</v>
      </c>
      <c r="M14" s="8" t="n">
        <v>12</v>
      </c>
      <c r="N14" s="8" t="n">
        <v>25</v>
      </c>
      <c r="O14" s="8" t="n">
        <v>41</v>
      </c>
      <c r="P14" s="8">
        <f>N14-O14</f>
        <v/>
      </c>
      <c r="Q14" s="8">
        <f>3*K14+L14</f>
        <v/>
      </c>
      <c r="R14" s="19">
        <f>IF(J14=0,"",K14/J14)</f>
        <v/>
      </c>
    </row>
    <row r="15" ht="15" customHeight="1" s="33">
      <c r="A15" s="11" t="n">
        <v>13</v>
      </c>
      <c r="B15" s="20" t="inlineStr">
        <is>
          <t>Estados Unidos</t>
        </is>
      </c>
      <c r="C15" s="11" t="inlineStr">
        <is>
          <t>CONCACAF</t>
        </is>
      </c>
      <c r="D15" s="11" t="n">
        <v>12</v>
      </c>
      <c r="E15" s="21" t="n">
        <v>1930</v>
      </c>
      <c r="F15" s="20" t="inlineStr">
        <is>
          <t>Tercer puesto (1930)</t>
        </is>
      </c>
      <c r="G15" s="11" t="n">
        <v>0</v>
      </c>
      <c r="H15" s="11" t="n">
        <v>0</v>
      </c>
      <c r="I15" s="11" t="n">
        <v>1</v>
      </c>
      <c r="J15" s="11" t="n">
        <v>37</v>
      </c>
      <c r="K15" s="11" t="n">
        <v>9</v>
      </c>
      <c r="L15" s="11" t="n">
        <v>8</v>
      </c>
      <c r="M15" s="11" t="n">
        <v>20</v>
      </c>
      <c r="N15" s="11" t="n">
        <v>40</v>
      </c>
      <c r="O15" s="11" t="n">
        <v>66</v>
      </c>
      <c r="P15" s="11">
        <f>N15-O15</f>
        <v/>
      </c>
      <c r="Q15" s="11">
        <f>3*K15+L15</f>
        <v/>
      </c>
      <c r="R15" s="22">
        <f>IF(J15=0,"",K15/J15)</f>
        <v/>
      </c>
    </row>
    <row r="16" ht="15" customHeight="1" s="33">
      <c r="A16" s="11" t="n">
        <v>14</v>
      </c>
      <c r="B16" s="20" t="inlineStr">
        <is>
          <t>Paraguay</t>
        </is>
      </c>
      <c r="C16" s="11" t="inlineStr">
        <is>
          <t>CONMEBOL</t>
        </is>
      </c>
      <c r="D16" s="11" t="n">
        <v>9</v>
      </c>
      <c r="E16" s="21" t="n">
        <v>1930</v>
      </c>
      <c r="F16" s="20" t="inlineStr">
        <is>
          <t>Cuartos de final (2010)</t>
        </is>
      </c>
      <c r="G16" s="11" t="n">
        <v>0</v>
      </c>
      <c r="H16" s="11" t="n">
        <v>0</v>
      </c>
      <c r="I16" s="11" t="n">
        <v>0</v>
      </c>
      <c r="J16" s="11" t="n">
        <v>27</v>
      </c>
      <c r="K16" s="11" t="n">
        <v>7</v>
      </c>
      <c r="L16" s="11" t="n">
        <v>10</v>
      </c>
      <c r="M16" s="11" t="n">
        <v>10</v>
      </c>
      <c r="N16" s="11" t="n">
        <v>30</v>
      </c>
      <c r="O16" s="11" t="n">
        <v>38</v>
      </c>
      <c r="P16" s="11">
        <f>N16-O16</f>
        <v/>
      </c>
      <c r="Q16" s="11">
        <f>3*K16+L16</f>
        <v/>
      </c>
      <c r="R16" s="22">
        <f>IF(J16=0,"",K16/J16)</f>
        <v/>
      </c>
    </row>
    <row r="17" ht="15" customHeight="1" s="33">
      <c r="A17" s="11" t="n">
        <v>15</v>
      </c>
      <c r="B17" s="20" t="inlineStr">
        <is>
          <t>Australia</t>
        </is>
      </c>
      <c r="C17" s="11" t="inlineStr">
        <is>
          <t>AFC</t>
        </is>
      </c>
      <c r="D17" s="11" t="n">
        <v>7</v>
      </c>
      <c r="E17" s="21" t="n">
        <v>1974</v>
      </c>
      <c r="F17" s="20" t="inlineStr">
        <is>
          <t>Octavos de final (2006, 2022)</t>
        </is>
      </c>
      <c r="G17" s="11" t="n">
        <v>0</v>
      </c>
      <c r="H17" s="11" t="n">
        <v>0</v>
      </c>
      <c r="I17" s="11" t="n">
        <v>0</v>
      </c>
      <c r="J17" s="11" t="n">
        <v>20</v>
      </c>
      <c r="K17" s="11" t="n">
        <v>4</v>
      </c>
      <c r="L17" s="11" t="n">
        <v>4</v>
      </c>
      <c r="M17" s="11" t="n">
        <v>12</v>
      </c>
      <c r="N17" s="11" t="n">
        <v>17</v>
      </c>
      <c r="O17" s="11" t="n">
        <v>37</v>
      </c>
      <c r="P17" s="11">
        <f>N17-O17</f>
        <v/>
      </c>
      <c r="Q17" s="11">
        <f>3*K17+L17</f>
        <v/>
      </c>
      <c r="R17" s="22">
        <f>IF(J17=0,"",K17/J17)</f>
        <v/>
      </c>
    </row>
    <row r="18" ht="15" customHeight="1" s="33">
      <c r="A18" s="11" t="n">
        <v>16</v>
      </c>
      <c r="B18" s="20" t="inlineStr">
        <is>
          <t>Turquía</t>
        </is>
      </c>
      <c r="C18" s="11" t="inlineStr">
        <is>
          <t>UEFA</t>
        </is>
      </c>
      <c r="D18" s="11" t="n">
        <v>3</v>
      </c>
      <c r="E18" s="21" t="n">
        <v>1954</v>
      </c>
      <c r="F18" s="20" t="inlineStr">
        <is>
          <t>Tercer puesto (2002)</t>
        </is>
      </c>
      <c r="G18" s="11" t="n">
        <v>0</v>
      </c>
      <c r="H18" s="11" t="n">
        <v>0</v>
      </c>
      <c r="I18" s="11" t="n">
        <v>1</v>
      </c>
      <c r="J18" s="11" t="n">
        <v>10</v>
      </c>
      <c r="K18" s="11" t="n">
        <v>5</v>
      </c>
      <c r="L18" s="11" t="n">
        <v>1</v>
      </c>
      <c r="M18" s="11" t="n">
        <v>4</v>
      </c>
      <c r="N18" s="11" t="n">
        <v>20</v>
      </c>
      <c r="O18" s="11" t="n">
        <v>17</v>
      </c>
      <c r="P18" s="11">
        <f>N18-O18</f>
        <v/>
      </c>
      <c r="Q18" s="11">
        <f>3*K18+L18</f>
        <v/>
      </c>
      <c r="R18" s="22">
        <f>IF(J18=0,"",K18/J18)</f>
        <v/>
      </c>
    </row>
    <row r="19" ht="15" customHeight="1" s="33">
      <c r="A19" s="8" t="n">
        <v>17</v>
      </c>
      <c r="B19" s="17" t="inlineStr">
        <is>
          <t>Alemania</t>
        </is>
      </c>
      <c r="C19" s="8" t="inlineStr">
        <is>
          <t>UEFA</t>
        </is>
      </c>
      <c r="D19" s="8" t="n">
        <v>21</v>
      </c>
      <c r="E19" s="18" t="n">
        <v>1934</v>
      </c>
      <c r="F19" s="17" t="inlineStr">
        <is>
          <t>Campeón (1954, 1974, 1990, 2014)</t>
        </is>
      </c>
      <c r="G19" s="8" t="n">
        <v>4</v>
      </c>
      <c r="H19" s="8" t="n">
        <v>4</v>
      </c>
      <c r="I19" s="8" t="n">
        <v>4</v>
      </c>
      <c r="J19" s="8" t="n">
        <v>112</v>
      </c>
      <c r="K19" s="8" t="n">
        <v>68</v>
      </c>
      <c r="L19" s="8" t="n">
        <v>21</v>
      </c>
      <c r="M19" s="8" t="n">
        <v>23</v>
      </c>
      <c r="N19" s="8" t="n">
        <v>232</v>
      </c>
      <c r="O19" s="8" t="n">
        <v>130</v>
      </c>
      <c r="P19" s="8">
        <f>N19-O19</f>
        <v/>
      </c>
      <c r="Q19" s="8">
        <f>3*K19+L19</f>
        <v/>
      </c>
      <c r="R19" s="19">
        <f>IF(J19=0,"",K19/J19)</f>
        <v/>
      </c>
    </row>
    <row r="20" ht="15" customHeight="1" s="33">
      <c r="A20" s="8" t="n">
        <v>18</v>
      </c>
      <c r="B20" s="17" t="inlineStr">
        <is>
          <t>Curazao</t>
        </is>
      </c>
      <c r="C20" s="8" t="inlineStr">
        <is>
          <t>CONCACAF</t>
        </is>
      </c>
      <c r="D20" s="8" t="n">
        <v>1</v>
      </c>
      <c r="E20" s="18" t="n">
        <v>2026</v>
      </c>
      <c r="F20" s="17" t="inlineStr">
        <is>
          <t>Debuta en 2026</t>
        </is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>
        <f>N20-O20</f>
        <v/>
      </c>
      <c r="Q20" s="8">
        <f>3*K20+L20</f>
        <v/>
      </c>
      <c r="R20" s="19">
        <f>IF(J20=0,"",K20/J20)</f>
        <v/>
      </c>
    </row>
    <row r="21" ht="15" customHeight="1" s="33">
      <c r="A21" s="8" t="n">
        <v>19</v>
      </c>
      <c r="B21" s="17" t="inlineStr">
        <is>
          <t>Costa de Marfil</t>
        </is>
      </c>
      <c r="C21" s="8" t="inlineStr">
        <is>
          <t>CAF</t>
        </is>
      </c>
      <c r="D21" s="8" t="n">
        <v>4</v>
      </c>
      <c r="E21" s="18" t="n">
        <v>2006</v>
      </c>
      <c r="F21" s="17" t="inlineStr">
        <is>
          <t>Fase de grupos</t>
        </is>
      </c>
      <c r="G21" s="8" t="n">
        <v>0</v>
      </c>
      <c r="H21" s="8" t="n">
        <v>0</v>
      </c>
      <c r="I21" s="8" t="n">
        <v>0</v>
      </c>
      <c r="J21" s="8" t="n">
        <v>9</v>
      </c>
      <c r="K21" s="8" t="n">
        <v>3</v>
      </c>
      <c r="L21" s="8" t="n">
        <v>1</v>
      </c>
      <c r="M21" s="8" t="n">
        <v>5</v>
      </c>
      <c r="N21" s="8" t="n">
        <v>13</v>
      </c>
      <c r="O21" s="8" t="n">
        <v>14</v>
      </c>
      <c r="P21" s="8">
        <f>N21-O21</f>
        <v/>
      </c>
      <c r="Q21" s="8">
        <f>3*K21+L21</f>
        <v/>
      </c>
      <c r="R21" s="19">
        <f>IF(J21=0,"",K21/J21)</f>
        <v/>
      </c>
    </row>
    <row r="22" ht="15" customHeight="1" s="33">
      <c r="A22" s="8" t="n">
        <v>20</v>
      </c>
      <c r="B22" s="17" t="inlineStr">
        <is>
          <t>Ecuador</t>
        </is>
      </c>
      <c r="C22" s="8" t="inlineStr">
        <is>
          <t>CONMEBOL</t>
        </is>
      </c>
      <c r="D22" s="8" t="n">
        <v>5</v>
      </c>
      <c r="E22" s="18" t="n">
        <v>2002</v>
      </c>
      <c r="F22" s="17" t="inlineStr">
        <is>
          <t>Octavos de final (2006)</t>
        </is>
      </c>
      <c r="G22" s="8" t="n">
        <v>0</v>
      </c>
      <c r="H22" s="8" t="n">
        <v>0</v>
      </c>
      <c r="I22" s="8" t="n">
        <v>0</v>
      </c>
      <c r="J22" s="8" t="n">
        <v>13</v>
      </c>
      <c r="K22" s="8" t="n">
        <v>5</v>
      </c>
      <c r="L22" s="8" t="n">
        <v>2</v>
      </c>
      <c r="M22" s="8" t="n">
        <v>6</v>
      </c>
      <c r="N22" s="8" t="n">
        <v>14</v>
      </c>
      <c r="O22" s="8" t="n">
        <v>14</v>
      </c>
      <c r="P22" s="8">
        <f>N22-O22</f>
        <v/>
      </c>
      <c r="Q22" s="8">
        <f>3*K22+L22</f>
        <v/>
      </c>
      <c r="R22" s="19">
        <f>IF(J22=0,"",K22/J22)</f>
        <v/>
      </c>
    </row>
    <row r="23" ht="15" customHeight="1" s="33">
      <c r="A23" s="11" t="n">
        <v>21</v>
      </c>
      <c r="B23" s="20" t="inlineStr">
        <is>
          <t>Países Bajos</t>
        </is>
      </c>
      <c r="C23" s="11" t="inlineStr">
        <is>
          <t>UEFA</t>
        </is>
      </c>
      <c r="D23" s="11" t="n">
        <v>12</v>
      </c>
      <c r="E23" s="21" t="n">
        <v>1934</v>
      </c>
      <c r="F23" s="20" t="inlineStr">
        <is>
          <t>Subcampeón (1974, 1978, 2010)</t>
        </is>
      </c>
      <c r="G23" s="11" t="n">
        <v>0</v>
      </c>
      <c r="H23" s="11" t="n">
        <v>3</v>
      </c>
      <c r="I23" s="11" t="n">
        <v>1</v>
      </c>
      <c r="J23" s="11" t="n">
        <v>55</v>
      </c>
      <c r="K23" s="11" t="n">
        <v>30</v>
      </c>
      <c r="L23" s="11" t="n">
        <v>14</v>
      </c>
      <c r="M23" s="11" t="n">
        <v>11</v>
      </c>
      <c r="N23" s="11" t="n">
        <v>96</v>
      </c>
      <c r="O23" s="11" t="n">
        <v>52</v>
      </c>
      <c r="P23" s="11">
        <f>N23-O23</f>
        <v/>
      </c>
      <c r="Q23" s="11">
        <f>3*K23+L23</f>
        <v/>
      </c>
      <c r="R23" s="22">
        <f>IF(J23=0,"",K23/J23)</f>
        <v/>
      </c>
    </row>
    <row r="24" ht="15" customHeight="1" s="33">
      <c r="A24" s="11" t="n">
        <v>22</v>
      </c>
      <c r="B24" s="20" t="inlineStr">
        <is>
          <t>Japón</t>
        </is>
      </c>
      <c r="C24" s="11" t="inlineStr">
        <is>
          <t>AFC</t>
        </is>
      </c>
      <c r="D24" s="11" t="n">
        <v>8</v>
      </c>
      <c r="E24" s="21" t="n">
        <v>1998</v>
      </c>
      <c r="F24" s="20" t="inlineStr">
        <is>
          <t>Octavos de final (2002, 2010, 2018, 2022)</t>
        </is>
      </c>
      <c r="G24" s="11" t="n">
        <v>0</v>
      </c>
      <c r="H24" s="11" t="n">
        <v>0</v>
      </c>
      <c r="I24" s="11" t="n">
        <v>0</v>
      </c>
      <c r="J24" s="11" t="n">
        <v>25</v>
      </c>
      <c r="K24" s="11" t="n">
        <v>7</v>
      </c>
      <c r="L24" s="11" t="n">
        <v>6</v>
      </c>
      <c r="M24" s="11" t="n">
        <v>12</v>
      </c>
      <c r="N24" s="11" t="n">
        <v>25</v>
      </c>
      <c r="O24" s="11" t="n">
        <v>33</v>
      </c>
      <c r="P24" s="11">
        <f>N24-O24</f>
        <v/>
      </c>
      <c r="Q24" s="11">
        <f>3*K24+L24</f>
        <v/>
      </c>
      <c r="R24" s="22">
        <f>IF(J24=0,"",K24/J24)</f>
        <v/>
      </c>
    </row>
    <row r="25" ht="15" customHeight="1" s="33">
      <c r="A25" s="11" t="n">
        <v>23</v>
      </c>
      <c r="B25" s="20" t="inlineStr">
        <is>
          <t>Suecia</t>
        </is>
      </c>
      <c r="C25" s="11" t="inlineStr">
        <is>
          <t>UEFA</t>
        </is>
      </c>
      <c r="D25" s="11" t="n">
        <v>13</v>
      </c>
      <c r="E25" s="21" t="n">
        <v>1934</v>
      </c>
      <c r="F25" s="20" t="inlineStr">
        <is>
          <t>Subcampeón (1958)</t>
        </is>
      </c>
      <c r="G25" s="11" t="n">
        <v>0</v>
      </c>
      <c r="H25" s="11" t="n">
        <v>1</v>
      </c>
      <c r="I25" s="11" t="n">
        <v>2</v>
      </c>
      <c r="J25" s="11" t="n">
        <v>51</v>
      </c>
      <c r="K25" s="11" t="n">
        <v>19</v>
      </c>
      <c r="L25" s="11" t="n">
        <v>13</v>
      </c>
      <c r="M25" s="11" t="n">
        <v>19</v>
      </c>
      <c r="N25" s="11" t="n">
        <v>80</v>
      </c>
      <c r="O25" s="11" t="n">
        <v>73</v>
      </c>
      <c r="P25" s="11">
        <f>N25-O25</f>
        <v/>
      </c>
      <c r="Q25" s="11">
        <f>3*K25+L25</f>
        <v/>
      </c>
      <c r="R25" s="22">
        <f>IF(J25=0,"",K25/J25)</f>
        <v/>
      </c>
    </row>
    <row r="26" ht="15" customHeight="1" s="33">
      <c r="A26" s="11" t="n">
        <v>24</v>
      </c>
      <c r="B26" s="20" t="inlineStr">
        <is>
          <t>Túnez</t>
        </is>
      </c>
      <c r="C26" s="11" t="inlineStr">
        <is>
          <t>CAF</t>
        </is>
      </c>
      <c r="D26" s="11" t="n">
        <v>7</v>
      </c>
      <c r="E26" s="21" t="n">
        <v>1978</v>
      </c>
      <c r="F26" s="20" t="inlineStr">
        <is>
          <t>Fase de grupos</t>
        </is>
      </c>
      <c r="G26" s="11" t="n">
        <v>0</v>
      </c>
      <c r="H26" s="11" t="n">
        <v>0</v>
      </c>
      <c r="I26" s="11" t="n">
        <v>0</v>
      </c>
      <c r="J26" s="11" t="n">
        <v>18</v>
      </c>
      <c r="K26" s="11" t="n">
        <v>3</v>
      </c>
      <c r="L26" s="11" t="n">
        <v>5</v>
      </c>
      <c r="M26" s="11" t="n">
        <v>10</v>
      </c>
      <c r="N26" s="11" t="n">
        <v>14</v>
      </c>
      <c r="O26" s="11" t="n">
        <v>26</v>
      </c>
      <c r="P26" s="11">
        <f>N26-O26</f>
        <v/>
      </c>
      <c r="Q26" s="11">
        <f>3*K26+L26</f>
        <v/>
      </c>
      <c r="R26" s="22">
        <f>IF(J26=0,"",K26/J26)</f>
        <v/>
      </c>
    </row>
    <row r="27" ht="15" customHeight="1" s="33">
      <c r="A27" s="8" t="n">
        <v>25</v>
      </c>
      <c r="B27" s="17" t="inlineStr">
        <is>
          <t>Bélgica</t>
        </is>
      </c>
      <c r="C27" s="8" t="inlineStr">
        <is>
          <t>UEFA</t>
        </is>
      </c>
      <c r="D27" s="8" t="n">
        <v>15</v>
      </c>
      <c r="E27" s="18" t="n">
        <v>1930</v>
      </c>
      <c r="F27" s="17" t="inlineStr">
        <is>
          <t>Tercer puesto (2018)</t>
        </is>
      </c>
      <c r="G27" s="8" t="n">
        <v>0</v>
      </c>
      <c r="H27" s="8" t="n">
        <v>0</v>
      </c>
      <c r="I27" s="8" t="n">
        <v>1</v>
      </c>
      <c r="J27" s="8" t="n">
        <v>51</v>
      </c>
      <c r="K27" s="8" t="n">
        <v>21</v>
      </c>
      <c r="L27" s="8" t="n">
        <v>10</v>
      </c>
      <c r="M27" s="8" t="n">
        <v>20</v>
      </c>
      <c r="N27" s="8" t="n">
        <v>69</v>
      </c>
      <c r="O27" s="8" t="n">
        <v>74</v>
      </c>
      <c r="P27" s="8">
        <f>N27-O27</f>
        <v/>
      </c>
      <c r="Q27" s="8">
        <f>3*K27+L27</f>
        <v/>
      </c>
      <c r="R27" s="19">
        <f>IF(J27=0,"",K27/J27)</f>
        <v/>
      </c>
    </row>
    <row r="28" ht="15" customHeight="1" s="33">
      <c r="A28" s="8" t="n">
        <v>26</v>
      </c>
      <c r="B28" s="17" t="inlineStr">
        <is>
          <t>Egipto</t>
        </is>
      </c>
      <c r="C28" s="8" t="inlineStr">
        <is>
          <t>CAF</t>
        </is>
      </c>
      <c r="D28" s="8" t="n">
        <v>4</v>
      </c>
      <c r="E28" s="18" t="n">
        <v>1934</v>
      </c>
      <c r="F28" s="17" t="inlineStr">
        <is>
          <t>Octavos de final (1934)</t>
        </is>
      </c>
      <c r="G28" s="8" t="n">
        <v>0</v>
      </c>
      <c r="H28" s="8" t="n">
        <v>0</v>
      </c>
      <c r="I28" s="8" t="n">
        <v>0</v>
      </c>
      <c r="J28" s="8" t="n">
        <v>7</v>
      </c>
      <c r="K28" s="8" t="n">
        <v>0</v>
      </c>
      <c r="L28" s="8" t="n">
        <v>2</v>
      </c>
      <c r="M28" s="8" t="n">
        <v>5</v>
      </c>
      <c r="N28" s="8" t="n">
        <v>5</v>
      </c>
      <c r="O28" s="8" t="n">
        <v>12</v>
      </c>
      <c r="P28" s="8">
        <f>N28-O28</f>
        <v/>
      </c>
      <c r="Q28" s="8">
        <f>3*K28+L28</f>
        <v/>
      </c>
      <c r="R28" s="19">
        <f>IF(J28=0,"",K28/J28)</f>
        <v/>
      </c>
    </row>
    <row r="29" ht="15" customHeight="1" s="33">
      <c r="A29" s="8" t="n">
        <v>27</v>
      </c>
      <c r="B29" s="17" t="inlineStr">
        <is>
          <t>Irán</t>
        </is>
      </c>
      <c r="C29" s="8" t="inlineStr">
        <is>
          <t>AFC</t>
        </is>
      </c>
      <c r="D29" s="8" t="n">
        <v>7</v>
      </c>
      <c r="E29" s="18" t="n">
        <v>1978</v>
      </c>
      <c r="F29" s="17" t="inlineStr">
        <is>
          <t>Fase de grupos</t>
        </is>
      </c>
      <c r="G29" s="8" t="n">
        <v>0</v>
      </c>
      <c r="H29" s="8" t="n">
        <v>0</v>
      </c>
      <c r="I29" s="8" t="n">
        <v>0</v>
      </c>
      <c r="J29" s="8" t="n">
        <v>18</v>
      </c>
      <c r="K29" s="8" t="n">
        <v>3</v>
      </c>
      <c r="L29" s="8" t="n">
        <v>4</v>
      </c>
      <c r="M29" s="8" t="n">
        <v>11</v>
      </c>
      <c r="N29" s="8" t="n">
        <v>13</v>
      </c>
      <c r="O29" s="8" t="n">
        <v>31</v>
      </c>
      <c r="P29" s="8">
        <f>N29-O29</f>
        <v/>
      </c>
      <c r="Q29" s="8">
        <f>3*K29+L29</f>
        <v/>
      </c>
      <c r="R29" s="19">
        <f>IF(J29=0,"",K29/J29)</f>
        <v/>
      </c>
    </row>
    <row r="30" ht="15" customHeight="1" s="33">
      <c r="A30" s="8" t="n">
        <v>28</v>
      </c>
      <c r="B30" s="17" t="inlineStr">
        <is>
          <t>Nueva Zelanda</t>
        </is>
      </c>
      <c r="C30" s="8" t="inlineStr">
        <is>
          <t>OFC</t>
        </is>
      </c>
      <c r="D30" s="8" t="n">
        <v>3</v>
      </c>
      <c r="E30" s="18" t="n">
        <v>1982</v>
      </c>
      <c r="F30" s="17" t="inlineStr">
        <is>
          <t>Fase de grupos</t>
        </is>
      </c>
      <c r="G30" s="8" t="n">
        <v>0</v>
      </c>
      <c r="H30" s="8" t="n">
        <v>0</v>
      </c>
      <c r="I30" s="8" t="n">
        <v>0</v>
      </c>
      <c r="J30" s="8" t="n">
        <v>6</v>
      </c>
      <c r="K30" s="8" t="n">
        <v>0</v>
      </c>
      <c r="L30" s="8" t="n">
        <v>3</v>
      </c>
      <c r="M30" s="8" t="n">
        <v>3</v>
      </c>
      <c r="N30" s="8" t="n">
        <v>4</v>
      </c>
      <c r="O30" s="8" t="n">
        <v>14</v>
      </c>
      <c r="P30" s="8">
        <f>N30-O30</f>
        <v/>
      </c>
      <c r="Q30" s="8">
        <f>3*K30+L30</f>
        <v/>
      </c>
      <c r="R30" s="19">
        <f>IF(J30=0,"",K30/J30)</f>
        <v/>
      </c>
    </row>
    <row r="31" ht="15" customHeight="1" s="33">
      <c r="A31" s="11" t="n">
        <v>29</v>
      </c>
      <c r="B31" s="20" t="inlineStr">
        <is>
          <t>España</t>
        </is>
      </c>
      <c r="C31" s="11" t="inlineStr">
        <is>
          <t>UEFA</t>
        </is>
      </c>
      <c r="D31" s="11" t="n">
        <v>17</v>
      </c>
      <c r="E31" s="21" t="n">
        <v>1934</v>
      </c>
      <c r="F31" s="20" t="inlineStr">
        <is>
          <t>Campeón (2010)</t>
        </is>
      </c>
      <c r="G31" s="11" t="n">
        <v>1</v>
      </c>
      <c r="H31" s="11" t="n">
        <v>0</v>
      </c>
      <c r="I31" s="11" t="n">
        <v>0</v>
      </c>
      <c r="J31" s="11" t="n">
        <v>67</v>
      </c>
      <c r="K31" s="11" t="n">
        <v>31</v>
      </c>
      <c r="L31" s="11" t="n">
        <v>17</v>
      </c>
      <c r="M31" s="11" t="n">
        <v>19</v>
      </c>
      <c r="N31" s="11" t="n">
        <v>108</v>
      </c>
      <c r="O31" s="11" t="n">
        <v>75</v>
      </c>
      <c r="P31" s="11">
        <f>N31-O31</f>
        <v/>
      </c>
      <c r="Q31" s="11">
        <f>3*K31+L31</f>
        <v/>
      </c>
      <c r="R31" s="22">
        <f>IF(J31=0,"",K31/J31)</f>
        <v/>
      </c>
    </row>
    <row r="32" ht="15" customHeight="1" s="33">
      <c r="A32" s="11" t="n">
        <v>30</v>
      </c>
      <c r="B32" s="20" t="inlineStr">
        <is>
          <t>Cabo Verde</t>
        </is>
      </c>
      <c r="C32" s="11" t="inlineStr">
        <is>
          <t>CAF</t>
        </is>
      </c>
      <c r="D32" s="11" t="n">
        <v>1</v>
      </c>
      <c r="E32" s="21" t="n">
        <v>2026</v>
      </c>
      <c r="F32" s="20" t="inlineStr">
        <is>
          <t>Debuta en 2026</t>
        </is>
      </c>
      <c r="G32" s="11" t="n">
        <v>0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>
        <f>N32-O32</f>
        <v/>
      </c>
      <c r="Q32" s="11">
        <f>3*K32+L32</f>
        <v/>
      </c>
      <c r="R32" s="22">
        <f>IF(J32=0,"",K32/J32)</f>
        <v/>
      </c>
    </row>
    <row r="33" ht="15" customHeight="1" s="33">
      <c r="A33" s="11" t="n">
        <v>31</v>
      </c>
      <c r="B33" s="20" t="inlineStr">
        <is>
          <t>Arabia Saudita</t>
        </is>
      </c>
      <c r="C33" s="11" t="inlineStr">
        <is>
          <t>AFC</t>
        </is>
      </c>
      <c r="D33" s="11" t="n">
        <v>7</v>
      </c>
      <c r="E33" s="21" t="n">
        <v>1994</v>
      </c>
      <c r="F33" s="20" t="inlineStr">
        <is>
          <t>Octavos de final (1994)</t>
        </is>
      </c>
      <c r="G33" s="11" t="n">
        <v>0</v>
      </c>
      <c r="H33" s="11" t="n">
        <v>0</v>
      </c>
      <c r="I33" s="11" t="n">
        <v>0</v>
      </c>
      <c r="J33" s="11" t="n">
        <v>19</v>
      </c>
      <c r="K33" s="11" t="n">
        <v>4</v>
      </c>
      <c r="L33" s="11" t="n">
        <v>2</v>
      </c>
      <c r="M33" s="11" t="n">
        <v>13</v>
      </c>
      <c r="N33" s="11" t="n">
        <v>14</v>
      </c>
      <c r="O33" s="11" t="n">
        <v>44</v>
      </c>
      <c r="P33" s="11">
        <f>N33-O33</f>
        <v/>
      </c>
      <c r="Q33" s="11">
        <f>3*K33+L33</f>
        <v/>
      </c>
      <c r="R33" s="22">
        <f>IF(J33=0,"",K33/J33)</f>
        <v/>
      </c>
    </row>
    <row r="34" ht="15" customHeight="1" s="33">
      <c r="A34" s="11" t="n">
        <v>32</v>
      </c>
      <c r="B34" s="20" t="inlineStr">
        <is>
          <t>Uruguay</t>
        </is>
      </c>
      <c r="C34" s="11" t="inlineStr">
        <is>
          <t>CONMEBOL</t>
        </is>
      </c>
      <c r="D34" s="11" t="n">
        <v>15</v>
      </c>
      <c r="E34" s="21" t="n">
        <v>1930</v>
      </c>
      <c r="F34" s="20" t="inlineStr">
        <is>
          <t>Campeón (1930, 1950)</t>
        </is>
      </c>
      <c r="G34" s="11" t="n">
        <v>2</v>
      </c>
      <c r="H34" s="11" t="n">
        <v>0</v>
      </c>
      <c r="I34" s="11" t="n">
        <v>0</v>
      </c>
      <c r="J34" s="11" t="n">
        <v>59</v>
      </c>
      <c r="K34" s="11" t="n">
        <v>25</v>
      </c>
      <c r="L34" s="11" t="n">
        <v>13</v>
      </c>
      <c r="M34" s="11" t="n">
        <v>21</v>
      </c>
      <c r="N34" s="11" t="n">
        <v>89</v>
      </c>
      <c r="O34" s="11" t="n">
        <v>76</v>
      </c>
      <c r="P34" s="11">
        <f>N34-O34</f>
        <v/>
      </c>
      <c r="Q34" s="11">
        <f>3*K34+L34</f>
        <v/>
      </c>
      <c r="R34" s="22">
        <f>IF(J34=0,"",K34/J34)</f>
        <v/>
      </c>
    </row>
    <row r="35" ht="15" customHeight="1" s="33">
      <c r="A35" s="8" t="n">
        <v>33</v>
      </c>
      <c r="B35" s="17" t="inlineStr">
        <is>
          <t>Francia</t>
        </is>
      </c>
      <c r="C35" s="8" t="inlineStr">
        <is>
          <t>UEFA</t>
        </is>
      </c>
      <c r="D35" s="8" t="n">
        <v>17</v>
      </c>
      <c r="E35" s="18" t="n">
        <v>1930</v>
      </c>
      <c r="F35" s="17" t="inlineStr">
        <is>
          <t>Campeón (1998, 2018)</t>
        </is>
      </c>
      <c r="G35" s="8" t="n">
        <v>2</v>
      </c>
      <c r="H35" s="8" t="n">
        <v>2</v>
      </c>
      <c r="I35" s="8" t="n">
        <v>2</v>
      </c>
      <c r="J35" s="8" t="n">
        <v>73</v>
      </c>
      <c r="K35" s="8" t="n">
        <v>39</v>
      </c>
      <c r="L35" s="8" t="n">
        <v>14</v>
      </c>
      <c r="M35" s="8" t="n">
        <v>20</v>
      </c>
      <c r="N35" s="8" t="n">
        <v>136</v>
      </c>
      <c r="O35" s="8" t="n">
        <v>85</v>
      </c>
      <c r="P35" s="8">
        <f>N35-O35</f>
        <v/>
      </c>
      <c r="Q35" s="8">
        <f>3*K35+L35</f>
        <v/>
      </c>
      <c r="R35" s="19">
        <f>IF(J35=0,"",K35/J35)</f>
        <v/>
      </c>
    </row>
    <row r="36" ht="15" customHeight="1" s="33">
      <c r="A36" s="8" t="n">
        <v>34</v>
      </c>
      <c r="B36" s="17" t="inlineStr">
        <is>
          <t>Senegal</t>
        </is>
      </c>
      <c r="C36" s="8" t="inlineStr">
        <is>
          <t>CAF</t>
        </is>
      </c>
      <c r="D36" s="8" t="n">
        <v>4</v>
      </c>
      <c r="E36" s="18" t="n">
        <v>2002</v>
      </c>
      <c r="F36" s="17" t="inlineStr">
        <is>
          <t>Cuartos de final (2002)</t>
        </is>
      </c>
      <c r="G36" s="8" t="n">
        <v>0</v>
      </c>
      <c r="H36" s="8" t="n">
        <v>0</v>
      </c>
      <c r="I36" s="8" t="n">
        <v>0</v>
      </c>
      <c r="J36" s="8" t="n">
        <v>12</v>
      </c>
      <c r="K36" s="8" t="n">
        <v>5</v>
      </c>
      <c r="L36" s="8" t="n">
        <v>3</v>
      </c>
      <c r="M36" s="8" t="n">
        <v>4</v>
      </c>
      <c r="N36" s="8" t="n">
        <v>16</v>
      </c>
      <c r="O36" s="8" t="n">
        <v>17</v>
      </c>
      <c r="P36" s="8">
        <f>N36-O36</f>
        <v/>
      </c>
      <c r="Q36" s="8">
        <f>3*K36+L36</f>
        <v/>
      </c>
      <c r="R36" s="19">
        <f>IF(J36=0,"",K36/J36)</f>
        <v/>
      </c>
    </row>
    <row r="37" ht="15" customHeight="1" s="33">
      <c r="A37" s="8" t="n">
        <v>35</v>
      </c>
      <c r="B37" s="17" t="inlineStr">
        <is>
          <t>Irak</t>
        </is>
      </c>
      <c r="C37" s="8" t="inlineStr">
        <is>
          <t>AFC</t>
        </is>
      </c>
      <c r="D37" s="8" t="n">
        <v>2</v>
      </c>
      <c r="E37" s="18" t="n">
        <v>1986</v>
      </c>
      <c r="F37" s="17" t="inlineStr">
        <is>
          <t>Fase de grupos</t>
        </is>
      </c>
      <c r="G37" s="8" t="n">
        <v>0</v>
      </c>
      <c r="H37" s="8" t="n">
        <v>0</v>
      </c>
      <c r="I37" s="8" t="n">
        <v>0</v>
      </c>
      <c r="J37" s="8" t="n">
        <v>3</v>
      </c>
      <c r="K37" s="8" t="n">
        <v>0</v>
      </c>
      <c r="L37" s="8" t="n">
        <v>0</v>
      </c>
      <c r="M37" s="8" t="n">
        <v>3</v>
      </c>
      <c r="N37" s="8" t="n">
        <v>1</v>
      </c>
      <c r="O37" s="8" t="n">
        <v>4</v>
      </c>
      <c r="P37" s="8">
        <f>N37-O37</f>
        <v/>
      </c>
      <c r="Q37" s="8">
        <f>3*K37+L37</f>
        <v/>
      </c>
      <c r="R37" s="19">
        <f>IF(J37=0,"",K37/J37)</f>
        <v/>
      </c>
    </row>
    <row r="38" ht="15" customHeight="1" s="33">
      <c r="A38" s="8" t="n">
        <v>36</v>
      </c>
      <c r="B38" s="17" t="inlineStr">
        <is>
          <t>Noruega</t>
        </is>
      </c>
      <c r="C38" s="8" t="inlineStr">
        <is>
          <t>UEFA</t>
        </is>
      </c>
      <c r="D38" s="8" t="n">
        <v>4</v>
      </c>
      <c r="E38" s="18" t="n">
        <v>1938</v>
      </c>
      <c r="F38" s="17" t="inlineStr">
        <is>
          <t>Octavos de final (1938, 1998)</t>
        </is>
      </c>
      <c r="G38" s="8" t="n">
        <v>0</v>
      </c>
      <c r="H38" s="8" t="n">
        <v>0</v>
      </c>
      <c r="I38" s="8" t="n">
        <v>0</v>
      </c>
      <c r="J38" s="8" t="n">
        <v>8</v>
      </c>
      <c r="K38" s="8" t="n">
        <v>2</v>
      </c>
      <c r="L38" s="8" t="n">
        <v>3</v>
      </c>
      <c r="M38" s="8" t="n">
        <v>3</v>
      </c>
      <c r="N38" s="8" t="n">
        <v>7</v>
      </c>
      <c r="O38" s="8" t="n">
        <v>8</v>
      </c>
      <c r="P38" s="8">
        <f>N38-O38</f>
        <v/>
      </c>
      <c r="Q38" s="8">
        <f>3*K38+L38</f>
        <v/>
      </c>
      <c r="R38" s="19">
        <f>IF(J38=0,"",K38/J38)</f>
        <v/>
      </c>
    </row>
    <row r="39" ht="15" customHeight="1" s="33">
      <c r="A39" s="11" t="n">
        <v>37</v>
      </c>
      <c r="B39" s="20" t="inlineStr">
        <is>
          <t>Argentina</t>
        </is>
      </c>
      <c r="C39" s="11" t="inlineStr">
        <is>
          <t>CONMEBOL</t>
        </is>
      </c>
      <c r="D39" s="11" t="n">
        <v>19</v>
      </c>
      <c r="E39" s="21" t="n">
        <v>1930</v>
      </c>
      <c r="F39" s="20" t="inlineStr">
        <is>
          <t>Campeón (1978, 1986, 2022)</t>
        </is>
      </c>
      <c r="G39" s="11" t="n">
        <v>3</v>
      </c>
      <c r="H39" s="11" t="n">
        <v>3</v>
      </c>
      <c r="I39" s="11" t="n">
        <v>0</v>
      </c>
      <c r="J39" s="11" t="n">
        <v>88</v>
      </c>
      <c r="K39" s="11" t="n">
        <v>47</v>
      </c>
      <c r="L39" s="11" t="n">
        <v>17</v>
      </c>
      <c r="M39" s="11" t="n">
        <v>24</v>
      </c>
      <c r="N39" s="11" t="n">
        <v>152</v>
      </c>
      <c r="O39" s="11" t="n">
        <v>101</v>
      </c>
      <c r="P39" s="11">
        <f>N39-O39</f>
        <v/>
      </c>
      <c r="Q39" s="11">
        <f>3*K39+L39</f>
        <v/>
      </c>
      <c r="R39" s="22">
        <f>IF(J39=0,"",K39/J39)</f>
        <v/>
      </c>
    </row>
    <row r="40" ht="15" customHeight="1" s="33">
      <c r="A40" s="11" t="n">
        <v>38</v>
      </c>
      <c r="B40" s="20" t="inlineStr">
        <is>
          <t>Argelia</t>
        </is>
      </c>
      <c r="C40" s="11" t="inlineStr">
        <is>
          <t>CAF</t>
        </is>
      </c>
      <c r="D40" s="11" t="n">
        <v>5</v>
      </c>
      <c r="E40" s="21" t="n">
        <v>1982</v>
      </c>
      <c r="F40" s="20" t="inlineStr">
        <is>
          <t>Octavos de final (2014)</t>
        </is>
      </c>
      <c r="G40" s="11" t="n">
        <v>0</v>
      </c>
      <c r="H40" s="11" t="n">
        <v>0</v>
      </c>
      <c r="I40" s="11" t="n">
        <v>0</v>
      </c>
      <c r="J40" s="11" t="n">
        <v>13</v>
      </c>
      <c r="K40" s="11" t="n">
        <v>3</v>
      </c>
      <c r="L40" s="11" t="n">
        <v>3</v>
      </c>
      <c r="M40" s="11" t="n">
        <v>7</v>
      </c>
      <c r="N40" s="11" t="n">
        <v>13</v>
      </c>
      <c r="O40" s="11" t="n">
        <v>19</v>
      </c>
      <c r="P40" s="11">
        <f>N40-O40</f>
        <v/>
      </c>
      <c r="Q40" s="11">
        <f>3*K40+L40</f>
        <v/>
      </c>
      <c r="R40" s="22">
        <f>IF(J40=0,"",K40/J40)</f>
        <v/>
      </c>
    </row>
    <row r="41" ht="15" customHeight="1" s="33">
      <c r="A41" s="11" t="n">
        <v>39</v>
      </c>
      <c r="B41" s="20" t="inlineStr">
        <is>
          <t>Austria</t>
        </is>
      </c>
      <c r="C41" s="11" t="inlineStr">
        <is>
          <t>UEFA</t>
        </is>
      </c>
      <c r="D41" s="11" t="n">
        <v>8</v>
      </c>
      <c r="E41" s="21" t="n">
        <v>1934</v>
      </c>
      <c r="F41" s="20" t="inlineStr">
        <is>
          <t>Tercer puesto (1954)</t>
        </is>
      </c>
      <c r="G41" s="11" t="n">
        <v>0</v>
      </c>
      <c r="H41" s="11" t="n">
        <v>0</v>
      </c>
      <c r="I41" s="11" t="n">
        <v>1</v>
      </c>
      <c r="J41" s="11" t="n">
        <v>29</v>
      </c>
      <c r="K41" s="11" t="n">
        <v>12</v>
      </c>
      <c r="L41" s="11" t="n">
        <v>4</v>
      </c>
      <c r="M41" s="11" t="n">
        <v>13</v>
      </c>
      <c r="N41" s="11" t="n">
        <v>43</v>
      </c>
      <c r="O41" s="11" t="n">
        <v>47</v>
      </c>
      <c r="P41" s="11">
        <f>N41-O41</f>
        <v/>
      </c>
      <c r="Q41" s="11">
        <f>3*K41+L41</f>
        <v/>
      </c>
      <c r="R41" s="22">
        <f>IF(J41=0,"",K41/J41)</f>
        <v/>
      </c>
    </row>
    <row r="42" ht="15" customHeight="1" s="33">
      <c r="A42" s="11" t="n">
        <v>40</v>
      </c>
      <c r="B42" s="20" t="inlineStr">
        <is>
          <t>Jordania</t>
        </is>
      </c>
      <c r="C42" s="11" t="inlineStr">
        <is>
          <t>AFC</t>
        </is>
      </c>
      <c r="D42" s="11" t="n">
        <v>1</v>
      </c>
      <c r="E42" s="21" t="n">
        <v>2026</v>
      </c>
      <c r="F42" s="20" t="inlineStr">
        <is>
          <t>Debuta en 2026</t>
        </is>
      </c>
      <c r="G42" s="11" t="n">
        <v>0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0</v>
      </c>
      <c r="O42" s="11" t="n">
        <v>0</v>
      </c>
      <c r="P42" s="11">
        <f>N42-O42</f>
        <v/>
      </c>
      <c r="Q42" s="11">
        <f>3*K42+L42</f>
        <v/>
      </c>
      <c r="R42" s="22">
        <f>IF(J42=0,"",K42/J42)</f>
        <v/>
      </c>
    </row>
    <row r="43" ht="15" customHeight="1" s="33">
      <c r="A43" s="8" t="n">
        <v>41</v>
      </c>
      <c r="B43" s="17" t="inlineStr">
        <is>
          <t>Portugal</t>
        </is>
      </c>
      <c r="C43" s="8" t="inlineStr">
        <is>
          <t>UEFA</t>
        </is>
      </c>
      <c r="D43" s="8" t="n">
        <v>9</v>
      </c>
      <c r="E43" s="18" t="n">
        <v>1966</v>
      </c>
      <c r="F43" s="17" t="inlineStr">
        <is>
          <t>Tercer puesto (1966)</t>
        </is>
      </c>
      <c r="G43" s="8" t="n">
        <v>0</v>
      </c>
      <c r="H43" s="8" t="n">
        <v>0</v>
      </c>
      <c r="I43" s="8" t="n">
        <v>1</v>
      </c>
      <c r="J43" s="8" t="n">
        <v>35</v>
      </c>
      <c r="K43" s="8" t="n">
        <v>17</v>
      </c>
      <c r="L43" s="8" t="n">
        <v>6</v>
      </c>
      <c r="M43" s="8" t="n">
        <v>12</v>
      </c>
      <c r="N43" s="8" t="n">
        <v>61</v>
      </c>
      <c r="O43" s="8" t="n">
        <v>41</v>
      </c>
      <c r="P43" s="8">
        <f>N43-O43</f>
        <v/>
      </c>
      <c r="Q43" s="8">
        <f>3*K43+L43</f>
        <v/>
      </c>
      <c r="R43" s="19">
        <f>IF(J43=0,"",K43/J43)</f>
        <v/>
      </c>
    </row>
    <row r="44" ht="15" customHeight="1" s="33">
      <c r="A44" s="8" t="n">
        <v>42</v>
      </c>
      <c r="B44" s="17" t="inlineStr">
        <is>
          <t>RD Congo</t>
        </is>
      </c>
      <c r="C44" s="8" t="inlineStr">
        <is>
          <t>CAF</t>
        </is>
      </c>
      <c r="D44" s="8" t="n">
        <v>2</v>
      </c>
      <c r="E44" s="18" t="n">
        <v>1974</v>
      </c>
      <c r="F44" s="17" t="inlineStr">
        <is>
          <t>Fase de grupos (como Zaire, 1974)</t>
        </is>
      </c>
      <c r="G44" s="8" t="n">
        <v>0</v>
      </c>
      <c r="H44" s="8" t="n">
        <v>0</v>
      </c>
      <c r="I44" s="8" t="n">
        <v>0</v>
      </c>
      <c r="J44" s="8" t="n">
        <v>3</v>
      </c>
      <c r="K44" s="8" t="n">
        <v>0</v>
      </c>
      <c r="L44" s="8" t="n">
        <v>0</v>
      </c>
      <c r="M44" s="8" t="n">
        <v>3</v>
      </c>
      <c r="N44" s="8" t="n">
        <v>0</v>
      </c>
      <c r="O44" s="8" t="n">
        <v>14</v>
      </c>
      <c r="P44" s="8">
        <f>N44-O44</f>
        <v/>
      </c>
      <c r="Q44" s="8">
        <f>3*K44+L44</f>
        <v/>
      </c>
      <c r="R44" s="19">
        <f>IF(J44=0,"",K44/J44)</f>
        <v/>
      </c>
    </row>
    <row r="45" ht="15" customHeight="1" s="33">
      <c r="A45" s="8" t="n">
        <v>43</v>
      </c>
      <c r="B45" s="17" t="inlineStr">
        <is>
          <t>Uzbekistán</t>
        </is>
      </c>
      <c r="C45" s="8" t="inlineStr">
        <is>
          <t>AFC</t>
        </is>
      </c>
      <c r="D45" s="8" t="n">
        <v>1</v>
      </c>
      <c r="E45" s="18" t="n">
        <v>2026</v>
      </c>
      <c r="F45" s="17" t="inlineStr">
        <is>
          <t>Debuta en 2026</t>
        </is>
      </c>
      <c r="G45" s="8" t="n">
        <v>0</v>
      </c>
      <c r="H45" s="8" t="n">
        <v>0</v>
      </c>
      <c r="I45" s="8" t="n">
        <v>0</v>
      </c>
      <c r="J45" s="8" t="n">
        <v>0</v>
      </c>
      <c r="K45" s="8" t="n">
        <v>0</v>
      </c>
      <c r="L45" s="8" t="n">
        <v>0</v>
      </c>
      <c r="M45" s="8" t="n">
        <v>0</v>
      </c>
      <c r="N45" s="8" t="n">
        <v>0</v>
      </c>
      <c r="O45" s="8" t="n">
        <v>0</v>
      </c>
      <c r="P45" s="8">
        <f>N45-O45</f>
        <v/>
      </c>
      <c r="Q45" s="8">
        <f>3*K45+L45</f>
        <v/>
      </c>
      <c r="R45" s="19">
        <f>IF(J45=0,"",K45/J45)</f>
        <v/>
      </c>
    </row>
    <row r="46" ht="15" customHeight="1" s="33">
      <c r="A46" s="8" t="n">
        <v>44</v>
      </c>
      <c r="B46" s="17" t="inlineStr">
        <is>
          <t>Colombia</t>
        </is>
      </c>
      <c r="C46" s="8" t="inlineStr">
        <is>
          <t>CONMEBOL</t>
        </is>
      </c>
      <c r="D46" s="8" t="n">
        <v>7</v>
      </c>
      <c r="E46" s="18" t="n">
        <v>1962</v>
      </c>
      <c r="F46" s="17" t="inlineStr">
        <is>
          <t>Cuartos de final (2014)</t>
        </is>
      </c>
      <c r="G46" s="8" t="n">
        <v>0</v>
      </c>
      <c r="H46" s="8" t="n">
        <v>0</v>
      </c>
      <c r="I46" s="8" t="n">
        <v>0</v>
      </c>
      <c r="J46" s="8" t="n">
        <v>22</v>
      </c>
      <c r="K46" s="8" t="n">
        <v>9</v>
      </c>
      <c r="L46" s="8" t="n">
        <v>3</v>
      </c>
      <c r="M46" s="8" t="n">
        <v>10</v>
      </c>
      <c r="N46" s="8" t="n">
        <v>32</v>
      </c>
      <c r="O46" s="8" t="n">
        <v>30</v>
      </c>
      <c r="P46" s="8">
        <f>N46-O46</f>
        <v/>
      </c>
      <c r="Q46" s="8">
        <f>3*K46+L46</f>
        <v/>
      </c>
      <c r="R46" s="19">
        <f>IF(J46=0,"",K46/J46)</f>
        <v/>
      </c>
    </row>
    <row r="47" ht="15" customHeight="1" s="33">
      <c r="A47" s="11" t="n">
        <v>45</v>
      </c>
      <c r="B47" s="20" t="inlineStr">
        <is>
          <t>Inglaterra</t>
        </is>
      </c>
      <c r="C47" s="11" t="inlineStr">
        <is>
          <t>UEFA</t>
        </is>
      </c>
      <c r="D47" s="11" t="n">
        <v>17</v>
      </c>
      <c r="E47" s="21" t="n">
        <v>1950</v>
      </c>
      <c r="F47" s="20" t="inlineStr">
        <is>
          <t>Campeón (1966)</t>
        </is>
      </c>
      <c r="G47" s="11" t="n">
        <v>1</v>
      </c>
      <c r="H47" s="11" t="n">
        <v>0</v>
      </c>
      <c r="I47" s="11" t="n">
        <v>0</v>
      </c>
      <c r="J47" s="11" t="n">
        <v>74</v>
      </c>
      <c r="K47" s="11" t="n">
        <v>32</v>
      </c>
      <c r="L47" s="11" t="n">
        <v>22</v>
      </c>
      <c r="M47" s="11" t="n">
        <v>20</v>
      </c>
      <c r="N47" s="11" t="n">
        <v>104</v>
      </c>
      <c r="O47" s="11" t="n">
        <v>68</v>
      </c>
      <c r="P47" s="11">
        <f>N47-O47</f>
        <v/>
      </c>
      <c r="Q47" s="11">
        <f>3*K47+L47</f>
        <v/>
      </c>
      <c r="R47" s="22">
        <f>IF(J47=0,"",K47/J47)</f>
        <v/>
      </c>
    </row>
    <row r="48" ht="15" customHeight="1" s="33">
      <c r="A48" s="11" t="n">
        <v>46</v>
      </c>
      <c r="B48" s="20" t="inlineStr">
        <is>
          <t>Croacia</t>
        </is>
      </c>
      <c r="C48" s="11" t="inlineStr">
        <is>
          <t>UEFA</t>
        </is>
      </c>
      <c r="D48" s="11" t="n">
        <v>7</v>
      </c>
      <c r="E48" s="21" t="n">
        <v>1998</v>
      </c>
      <c r="F48" s="20" t="inlineStr">
        <is>
          <t>Subcampeón (2018)</t>
        </is>
      </c>
      <c r="G48" s="11" t="n">
        <v>0</v>
      </c>
      <c r="H48" s="11" t="n">
        <v>1</v>
      </c>
      <c r="I48" s="11" t="n">
        <v>2</v>
      </c>
      <c r="J48" s="11" t="n">
        <v>30</v>
      </c>
      <c r="K48" s="11" t="n">
        <v>13</v>
      </c>
      <c r="L48" s="11" t="n">
        <v>8</v>
      </c>
      <c r="M48" s="11" t="n">
        <v>9</v>
      </c>
      <c r="N48" s="11" t="n">
        <v>43</v>
      </c>
      <c r="O48" s="11" t="n">
        <v>33</v>
      </c>
      <c r="P48" s="11">
        <f>N48-O48</f>
        <v/>
      </c>
      <c r="Q48" s="11">
        <f>3*K48+L48</f>
        <v/>
      </c>
      <c r="R48" s="22">
        <f>IF(J48=0,"",K48/J48)</f>
        <v/>
      </c>
    </row>
    <row r="49" ht="15" customHeight="1" s="33">
      <c r="A49" s="11" t="n">
        <v>47</v>
      </c>
      <c r="B49" s="20" t="inlineStr">
        <is>
          <t>Ghana</t>
        </is>
      </c>
      <c r="C49" s="11" t="inlineStr">
        <is>
          <t>CAF</t>
        </is>
      </c>
      <c r="D49" s="11" t="n">
        <v>5</v>
      </c>
      <c r="E49" s="21" t="n">
        <v>2006</v>
      </c>
      <c r="F49" s="20" t="inlineStr">
        <is>
          <t>Cuartos de final (2010)</t>
        </is>
      </c>
      <c r="G49" s="11" t="n">
        <v>0</v>
      </c>
      <c r="H49" s="11" t="n">
        <v>0</v>
      </c>
      <c r="I49" s="11" t="n">
        <v>0</v>
      </c>
      <c r="J49" s="11" t="n">
        <v>15</v>
      </c>
      <c r="K49" s="11" t="n">
        <v>5</v>
      </c>
      <c r="L49" s="11" t="n">
        <v>3</v>
      </c>
      <c r="M49" s="11" t="n">
        <v>7</v>
      </c>
      <c r="N49" s="11" t="n">
        <v>18</v>
      </c>
      <c r="O49" s="11" t="n">
        <v>23</v>
      </c>
      <c r="P49" s="11">
        <f>N49-O49</f>
        <v/>
      </c>
      <c r="Q49" s="11">
        <f>3*K49+L49</f>
        <v/>
      </c>
      <c r="R49" s="22">
        <f>IF(J49=0,"",K49/J49)</f>
        <v/>
      </c>
    </row>
    <row r="50" ht="15" customHeight="1" s="33">
      <c r="A50" s="11" t="n">
        <v>48</v>
      </c>
      <c r="B50" s="20" t="inlineStr">
        <is>
          <t>Panamá</t>
        </is>
      </c>
      <c r="C50" s="11" t="inlineStr">
        <is>
          <t>CONCACAF</t>
        </is>
      </c>
      <c r="D50" s="11" t="n">
        <v>2</v>
      </c>
      <c r="E50" s="21" t="n">
        <v>2018</v>
      </c>
      <c r="F50" s="20" t="inlineStr">
        <is>
          <t>Fase de grupos</t>
        </is>
      </c>
      <c r="G50" s="11" t="n">
        <v>0</v>
      </c>
      <c r="H50" s="11" t="n">
        <v>0</v>
      </c>
      <c r="I50" s="11" t="n">
        <v>0</v>
      </c>
      <c r="J50" s="11" t="n">
        <v>3</v>
      </c>
      <c r="K50" s="11" t="n">
        <v>0</v>
      </c>
      <c r="L50" s="11" t="n">
        <v>0</v>
      </c>
      <c r="M50" s="11" t="n">
        <v>3</v>
      </c>
      <c r="N50" s="11" t="n">
        <v>2</v>
      </c>
      <c r="O50" s="11" t="n">
        <v>11</v>
      </c>
      <c r="P50" s="11">
        <f>N50-O50</f>
        <v/>
      </c>
      <c r="Q50" s="11">
        <f>3*K50+L50</f>
        <v/>
      </c>
      <c r="R50" s="22">
        <f>IF(J50=0,"",K50/J50)</f>
        <v/>
      </c>
    </row>
    <row r="51" ht="15.75" customHeight="1" s="33"/>
    <row r="52" ht="15" customHeight="1" s="33">
      <c r="B52" s="36" t="inlineStr">
        <is>
      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      </is>
      </c>
    </row>
    <row r="53" ht="15" customHeight="1" s="33"/>
    <row r="54" ht="1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1:R1"/>
    <mergeCell ref="B52:R54"/>
  </mergeCell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/>
  <cols>
    <col width="5" customWidth="1" style="33" min="1" max="1"/>
    <col width="22" customWidth="1" style="33" min="2" max="3"/>
    <col width="16" customWidth="1" style="33" min="4" max="4"/>
    <col width="15" customWidth="1" style="33" min="5" max="5"/>
    <col width="26" customWidth="1" style="33" min="6" max="6"/>
    <col width="46" customWidth="1" style="33" min="7" max="7"/>
    <col width="8.7109375" customWidth="1" style="33" min="8" max="26"/>
  </cols>
  <sheetData>
    <row r="1" ht="24" customHeight="1" s="33">
      <c r="A1" s="35" t="inlineStr">
        <is>
          <t>Entrenadores (DT) — Mundial 2026</t>
        </is>
      </c>
    </row>
    <row r="2" ht="15" customHeight="1" s="33">
      <c r="A2" s="16" t="inlineStr">
        <is>
          <t>N°</t>
        </is>
      </c>
      <c r="B2" s="16" t="inlineStr">
        <is>
          <t>País</t>
        </is>
      </c>
      <c r="C2" s="16" t="inlineStr">
        <is>
          <t>Director técnico</t>
        </is>
      </c>
      <c r="D2" s="16" t="inlineStr">
        <is>
          <t>Nacionalidad</t>
        </is>
      </c>
      <c r="E2" s="16" t="inlineStr">
        <is>
          <t>En el cargo desde</t>
        </is>
      </c>
      <c r="F2" s="16" t="inlineStr">
        <is>
          <t>Cargo anterior</t>
        </is>
      </c>
      <c r="G2" s="16" t="inlineStr">
        <is>
          <t>Trayectoria / notas</t>
        </is>
      </c>
      <c r="H2" s="23" t="inlineStr">
        <is>
          <t>Punt. selección (0-50)</t>
        </is>
      </c>
      <c r="I2" s="23" t="inlineStr">
        <is>
          <t>Punt. clubes (0-50)</t>
        </is>
      </c>
      <c r="J2" s="23" t="inlineStr">
        <is>
          <t>Puntaje DT (0-100)</t>
        </is>
      </c>
    </row>
    <row r="3" ht="23.25" customHeight="1" s="33">
      <c r="A3" s="8" t="n">
        <v>1</v>
      </c>
      <c r="B3" s="9" t="inlineStr">
        <is>
          <t>México</t>
        </is>
      </c>
      <c r="C3" s="9" t="inlineStr">
        <is>
          <t>Javier Aguirre</t>
        </is>
      </c>
      <c r="D3" s="9" t="inlineStr">
        <is>
          <t>México</t>
        </is>
      </c>
      <c r="E3" s="8" t="n">
        <v>2024</v>
      </c>
      <c r="F3" s="9" t="inlineStr">
        <is>
          <t>DT Mallorca</t>
        </is>
      </c>
      <c r="G3" s="9" t="inlineStr">
        <is>
          <t>Tercera etapa en México; dirigió en los Mundiales 1994, 2002 y 2010</t>
        </is>
      </c>
      <c r="H3" s="23" t="n">
        <v>24</v>
      </c>
      <c r="I3" s="23" t="n">
        <v>22</v>
      </c>
      <c r="J3" s="23" t="n">
        <v>46</v>
      </c>
    </row>
    <row r="4" ht="15" customHeight="1" s="33">
      <c r="A4" s="8" t="n">
        <v>2</v>
      </c>
      <c r="B4" s="9" t="inlineStr">
        <is>
          <t>Sudáfrica</t>
        </is>
      </c>
      <c r="C4" s="9" t="inlineStr">
        <is>
          <t>Hugo Broos</t>
        </is>
      </c>
      <c r="D4" s="9" t="inlineStr">
        <is>
          <t>Bélgica</t>
        </is>
      </c>
      <c r="E4" s="8" t="n">
        <v>2021</v>
      </c>
      <c r="F4" s="9" t="inlineStr">
        <is>
          <t>DT KV Oostende</t>
        </is>
      </c>
      <c r="G4" s="9" t="inlineStr">
        <is>
          <t>Campeón de la Copa Africana 2017 con Camerún</t>
        </is>
      </c>
      <c r="H4" s="23" t="n">
        <v>30</v>
      </c>
      <c r="I4" s="23" t="n">
        <v>10</v>
      </c>
      <c r="J4" s="23" t="n">
        <v>40</v>
      </c>
    </row>
    <row r="5" ht="15" customHeight="1" s="33">
      <c r="A5" s="8" t="n">
        <v>3</v>
      </c>
      <c r="B5" s="9" t="inlineStr">
        <is>
          <t>Corea del Sur</t>
        </is>
      </c>
      <c r="C5" s="9" t="inlineStr">
        <is>
          <t>Hong Myung-bo</t>
        </is>
      </c>
      <c r="D5" s="9" t="inlineStr">
        <is>
          <t>Corea del Sur</t>
        </is>
      </c>
      <c r="E5" s="8" t="n">
        <v>2024</v>
      </c>
      <c r="F5" s="9" t="inlineStr">
        <is>
          <t>DT Ulsan HD</t>
        </is>
      </c>
      <c r="G5" s="9" t="inlineStr">
        <is>
          <t>Exjugador; dirigió a Corea en el Mundial 2014</t>
        </is>
      </c>
      <c r="H5" s="23" t="n">
        <v>18</v>
      </c>
      <c r="I5" s="23" t="n">
        <v>12</v>
      </c>
      <c r="J5" s="23" t="n">
        <v>30</v>
      </c>
    </row>
    <row r="6" ht="15" customHeight="1" s="33">
      <c r="A6" s="8" t="n">
        <v>4</v>
      </c>
      <c r="B6" s="9" t="inlineStr">
        <is>
          <t>Chequia</t>
        </is>
      </c>
      <c r="C6" s="9" t="inlineStr">
        <is>
          <t>Miroslav Koubek</t>
        </is>
      </c>
      <c r="D6" s="9" t="inlineStr">
        <is>
          <t>Chequia</t>
        </is>
      </c>
      <c r="E6" s="8" t="n">
        <v>2024</v>
      </c>
      <c r="F6" s="9" t="inlineStr">
        <is>
          <t>DT Viktoria Plzeň</t>
        </is>
      </c>
      <c r="G6" s="9" t="n"/>
      <c r="H6" s="23" t="n">
        <v>8</v>
      </c>
      <c r="I6" s="23" t="n">
        <v>12</v>
      </c>
      <c r="J6" s="23" t="n">
        <v>20</v>
      </c>
    </row>
    <row r="7" ht="15" customHeight="1" s="33">
      <c r="A7" s="11" t="n">
        <v>5</v>
      </c>
      <c r="B7" s="12" t="inlineStr">
        <is>
          <t>Canadá</t>
        </is>
      </c>
      <c r="C7" s="12" t="inlineStr">
        <is>
          <t>Jesse Marsch</t>
        </is>
      </c>
      <c r="D7" s="12" t="inlineStr">
        <is>
          <t>Estados Unidos</t>
        </is>
      </c>
      <c r="E7" s="11" t="n">
        <v>2024</v>
      </c>
      <c r="F7" s="12" t="inlineStr">
        <is>
          <t>DT Leeds United</t>
        </is>
      </c>
      <c r="G7" s="12" t="inlineStr">
        <is>
          <t>Ex RB Leipzig y RB Salzburg</t>
        </is>
      </c>
      <c r="H7" s="23" t="n">
        <v>14</v>
      </c>
      <c r="I7" s="23" t="n">
        <v>22</v>
      </c>
      <c r="J7" s="23" t="n">
        <v>36</v>
      </c>
    </row>
    <row r="8" ht="23.25" customHeight="1" s="33">
      <c r="A8" s="11" t="n">
        <v>6</v>
      </c>
      <c r="B8" s="12" t="inlineStr">
        <is>
          <t>Bosnia y Herzegovina</t>
        </is>
      </c>
      <c r="C8" s="12" t="inlineStr">
        <is>
          <t>Sergej Barbarez</t>
        </is>
      </c>
      <c r="D8" s="12" t="inlineStr">
        <is>
          <t>Bosnia y Herzegovina</t>
        </is>
      </c>
      <c r="E8" s="11" t="n">
        <v>2024</v>
      </c>
      <c r="F8" s="12" t="inlineStr">
        <is>
          <t>Exjugador / comentarista</t>
        </is>
      </c>
      <c r="G8" s="12" t="inlineStr">
        <is>
          <t>Primer cargo importante como DT</t>
        </is>
      </c>
      <c r="H8" s="23" t="n">
        <v>6</v>
      </c>
      <c r="I8" s="23" t="n">
        <v>6</v>
      </c>
      <c r="J8" s="23" t="n">
        <v>12</v>
      </c>
    </row>
    <row r="9" ht="23.25" customHeight="1" s="33">
      <c r="A9" s="11" t="n">
        <v>7</v>
      </c>
      <c r="B9" s="12" t="inlineStr">
        <is>
          <t>Catar</t>
        </is>
      </c>
      <c r="C9" s="12" t="inlineStr">
        <is>
          <t>Julen Lopetegui</t>
        </is>
      </c>
      <c r="D9" s="12" t="inlineStr">
        <is>
          <t>España</t>
        </is>
      </c>
      <c r="E9" s="11" t="n">
        <v>2025</v>
      </c>
      <c r="F9" s="12" t="inlineStr">
        <is>
          <t>DT West Ham</t>
        </is>
      </c>
      <c r="G9" s="12" t="inlineStr">
        <is>
          <t>Exseleccionador de España; ex DT Real Madrid y Sevilla</t>
        </is>
      </c>
      <c r="H9" s="23" t="n">
        <v>18</v>
      </c>
      <c r="I9" s="23" t="n">
        <v>30</v>
      </c>
      <c r="J9" s="23" t="n">
        <v>48</v>
      </c>
    </row>
    <row r="10" ht="15" customHeight="1" s="33">
      <c r="A10" s="11" t="n">
        <v>8</v>
      </c>
      <c r="B10" s="12" t="inlineStr">
        <is>
          <t>Suiza</t>
        </is>
      </c>
      <c r="C10" s="12" t="inlineStr">
        <is>
          <t>Murat Yakin</t>
        </is>
      </c>
      <c r="D10" s="12" t="inlineStr">
        <is>
          <t>Suiza</t>
        </is>
      </c>
      <c r="E10" s="11" t="n">
        <v>2021</v>
      </c>
      <c r="F10" s="12" t="inlineStr">
        <is>
          <t>DT Schaffhausen</t>
        </is>
      </c>
      <c r="G10" s="12" t="n"/>
      <c r="H10" s="23" t="n">
        <v>20</v>
      </c>
      <c r="I10" s="23" t="n">
        <v>16</v>
      </c>
      <c r="J10" s="23" t="n">
        <v>36</v>
      </c>
    </row>
    <row r="11" ht="23.25" customHeight="1" s="33">
      <c r="A11" s="8" t="n">
        <v>9</v>
      </c>
      <c r="B11" s="9" t="inlineStr">
        <is>
          <t>Brasil</t>
        </is>
      </c>
      <c r="C11" s="9" t="inlineStr">
        <is>
          <t>Carlo Ancelotti</t>
        </is>
      </c>
      <c r="D11" s="9" t="inlineStr">
        <is>
          <t>Italia</t>
        </is>
      </c>
      <c r="E11" s="8" t="n">
        <v>2025</v>
      </c>
      <c r="F11" s="9" t="inlineStr">
        <is>
          <t>DT Real Madrid</t>
        </is>
      </c>
      <c r="G11" s="9" t="inlineStr">
        <is>
          <t>5 Champions League como DT (récord); primer Mundial como entrenador</t>
        </is>
      </c>
      <c r="H11" s="23" t="n">
        <v>8</v>
      </c>
      <c r="I11" s="23" t="n">
        <v>50</v>
      </c>
      <c r="J11" s="23" t="n">
        <v>58</v>
      </c>
    </row>
    <row r="12" ht="23.25" customHeight="1" s="33">
      <c r="A12" s="8" t="n">
        <v>10</v>
      </c>
      <c r="B12" s="9" t="inlineStr">
        <is>
          <t>Marruecos</t>
        </is>
      </c>
      <c r="C12" s="24" t="inlineStr">
        <is>
          <t>Mohamed Ouahbi</t>
        </is>
      </c>
      <c r="D12" s="9" t="inlineStr">
        <is>
          <t>Marruecos</t>
        </is>
      </c>
      <c r="E12" s="8" t="n">
        <v>2026</v>
      </c>
      <c r="F12" s="9" t="inlineStr">
        <is>
          <t>DT Marruecos sub-20</t>
        </is>
      </c>
      <c r="G12" s="9" t="inlineStr">
        <is>
          <t>Campeón del Mundial sub-20 2025; asumió tras la Copa Africana 2025</t>
        </is>
      </c>
      <c r="H12" s="23" t="n">
        <v>12</v>
      </c>
      <c r="I12" s="23" t="n">
        <v>8</v>
      </c>
      <c r="J12" s="23" t="n">
        <v>20</v>
      </c>
    </row>
    <row r="13" ht="15" customHeight="1" s="33">
      <c r="A13" s="8" t="n">
        <v>11</v>
      </c>
      <c r="B13" s="9" t="inlineStr">
        <is>
          <t>Haití</t>
        </is>
      </c>
      <c r="C13" s="9" t="inlineStr">
        <is>
          <t>Sébastien Migné</t>
        </is>
      </c>
      <c r="D13" s="9" t="inlineStr">
        <is>
          <t>Francia</t>
        </is>
      </c>
      <c r="E13" s="8" t="n">
        <v>2024</v>
      </c>
      <c r="F13" s="9" t="inlineStr">
        <is>
          <t>Asistente de Camerún</t>
        </is>
      </c>
      <c r="G13" s="9" t="inlineStr">
        <is>
          <t>Clasificó a Haití sin pisar el país por el conflicto interno</t>
        </is>
      </c>
      <c r="H13" s="23" t="n">
        <v>12</v>
      </c>
      <c r="I13" s="23" t="n">
        <v>6</v>
      </c>
      <c r="J13" s="23" t="n">
        <v>18</v>
      </c>
    </row>
    <row r="14" ht="15" customHeight="1" s="33">
      <c r="A14" s="8" t="n">
        <v>12</v>
      </c>
      <c r="B14" s="9" t="inlineStr">
        <is>
          <t>Escocia</t>
        </is>
      </c>
      <c r="C14" s="9" t="inlineStr">
        <is>
          <t>Steve Clarke</t>
        </is>
      </c>
      <c r="D14" s="9" t="inlineStr">
        <is>
          <t>Escocia</t>
        </is>
      </c>
      <c r="E14" s="8" t="n">
        <v>2019</v>
      </c>
      <c r="F14" s="9" t="inlineStr">
        <is>
          <t>DT Kilmarnock</t>
        </is>
      </c>
      <c r="G14" s="9" t="inlineStr">
        <is>
          <t>Ex asistente de Mourinho en Chelsea</t>
        </is>
      </c>
      <c r="H14" s="23" t="n">
        <v>22</v>
      </c>
      <c r="I14" s="23" t="n">
        <v>14</v>
      </c>
      <c r="J14" s="23" t="n">
        <v>36</v>
      </c>
    </row>
    <row r="15" ht="15" customHeight="1" s="33">
      <c r="A15" s="11" t="n">
        <v>13</v>
      </c>
      <c r="B15" s="12" t="inlineStr">
        <is>
          <t>Estados Unidos</t>
        </is>
      </c>
      <c r="C15" s="12" t="inlineStr">
        <is>
          <t>Mauricio Pochettino</t>
        </is>
      </c>
      <c r="D15" s="12" t="inlineStr">
        <is>
          <t>Argentina</t>
        </is>
      </c>
      <c r="E15" s="11" t="n">
        <v>2024</v>
      </c>
      <c r="F15" s="12" t="inlineStr">
        <is>
          <t>DT Chelsea</t>
        </is>
      </c>
      <c r="G15" s="12" t="inlineStr">
        <is>
          <t>Ex Tottenham y PSG</t>
        </is>
      </c>
      <c r="H15" s="23" t="n">
        <v>12</v>
      </c>
      <c r="I15" s="23" t="n">
        <v>36</v>
      </c>
      <c r="J15" s="23" t="n">
        <v>48</v>
      </c>
    </row>
    <row r="16" ht="15" customHeight="1" s="33">
      <c r="A16" s="11" t="n">
        <v>14</v>
      </c>
      <c r="B16" s="12" t="inlineStr">
        <is>
          <t>Paraguay</t>
        </is>
      </c>
      <c r="C16" s="12" t="inlineStr">
        <is>
          <t>Gustavo Alfaro</t>
        </is>
      </c>
      <c r="D16" s="12" t="inlineStr">
        <is>
          <t>Argentina</t>
        </is>
      </c>
      <c r="E16" s="11" t="n">
        <v>2024</v>
      </c>
      <c r="F16" s="12" t="inlineStr">
        <is>
          <t>DT selección de Costa Rica</t>
        </is>
      </c>
      <c r="G16" s="12" t="n"/>
      <c r="H16" s="23" t="n">
        <v>24</v>
      </c>
      <c r="I16" s="23" t="n">
        <v>20</v>
      </c>
      <c r="J16" s="23" t="n">
        <v>44</v>
      </c>
    </row>
    <row r="17" ht="15" customHeight="1" s="33">
      <c r="A17" s="11" t="n">
        <v>15</v>
      </c>
      <c r="B17" s="12" t="inlineStr">
        <is>
          <t>Australia</t>
        </is>
      </c>
      <c r="C17" s="12" t="inlineStr">
        <is>
          <t>Tony Popovic</t>
        </is>
      </c>
      <c r="D17" s="12" t="inlineStr">
        <is>
          <t>Australia</t>
        </is>
      </c>
      <c r="E17" s="11" t="n">
        <v>2024</v>
      </c>
      <c r="F17" s="12" t="inlineStr">
        <is>
          <t>DT Melbourne Victory</t>
        </is>
      </c>
      <c r="G17" s="12" t="n"/>
      <c r="H17" s="23" t="n">
        <v>16</v>
      </c>
      <c r="I17" s="23" t="n">
        <v>16</v>
      </c>
      <c r="J17" s="23" t="n">
        <v>32</v>
      </c>
    </row>
    <row r="18" ht="15" customHeight="1" s="33">
      <c r="A18" s="11" t="n">
        <v>16</v>
      </c>
      <c r="B18" s="12" t="inlineStr">
        <is>
          <t>Turquía</t>
        </is>
      </c>
      <c r="C18" s="12" t="inlineStr">
        <is>
          <t>Vincenzo Montella</t>
        </is>
      </c>
      <c r="D18" s="12" t="inlineStr">
        <is>
          <t>Italia</t>
        </is>
      </c>
      <c r="E18" s="11" t="n">
        <v>2023</v>
      </c>
      <c r="F18" s="12" t="inlineStr">
        <is>
          <t>DT Adana Demirspor</t>
        </is>
      </c>
      <c r="G18" s="12" t="inlineStr">
        <is>
          <t>Exjugador de Roma; ex DT Milan y Fiorentina</t>
        </is>
      </c>
      <c r="H18" s="23" t="n">
        <v>16</v>
      </c>
      <c r="I18" s="23" t="n">
        <v>22</v>
      </c>
      <c r="J18" s="23" t="n">
        <v>38</v>
      </c>
    </row>
    <row r="19" ht="15" customHeight="1" s="33">
      <c r="A19" s="8" t="n">
        <v>17</v>
      </c>
      <c r="B19" s="9" t="inlineStr">
        <is>
          <t>Alemania</t>
        </is>
      </c>
      <c r="C19" s="9" t="inlineStr">
        <is>
          <t>Julian Nagelsmann</t>
        </is>
      </c>
      <c r="D19" s="9" t="inlineStr">
        <is>
          <t>Alemania</t>
        </is>
      </c>
      <c r="E19" s="8" t="n">
        <v>2023</v>
      </c>
      <c r="F19" s="9" t="inlineStr">
        <is>
          <t>DT Bayern Múnich</t>
        </is>
      </c>
      <c r="G19" s="9" t="inlineStr">
        <is>
          <t>Ex RB Leipzig</t>
        </is>
      </c>
      <c r="H19" s="23" t="n">
        <v>22</v>
      </c>
      <c r="I19" s="23" t="n">
        <v>30</v>
      </c>
      <c r="J19" s="23" t="n">
        <v>52</v>
      </c>
    </row>
    <row r="20" ht="23.25" customHeight="1" s="33">
      <c r="A20" s="8" t="n">
        <v>18</v>
      </c>
      <c r="B20" s="9" t="inlineStr">
        <is>
          <t>Curazao</t>
        </is>
      </c>
      <c r="C20" s="9" t="inlineStr">
        <is>
          <t>Dick Advocaat</t>
        </is>
      </c>
      <c r="D20" s="9" t="inlineStr">
        <is>
          <t>Países Bajos</t>
        </is>
      </c>
      <c r="E20" s="8" t="n">
        <v>2024</v>
      </c>
      <c r="F20" s="9" t="inlineStr">
        <is>
          <t>DT ADO Den Haag</t>
        </is>
      </c>
      <c r="G20" s="9" t="inlineStr">
        <is>
          <t>Veterano; dirigió múltiples selecciones (Países Bajos, Rusia, etc.)</t>
        </is>
      </c>
      <c r="H20" s="23" t="n">
        <v>30</v>
      </c>
      <c r="I20" s="23" t="n">
        <v>26</v>
      </c>
      <c r="J20" s="23" t="n">
        <v>56</v>
      </c>
    </row>
    <row r="21" ht="15" customHeight="1" s="33">
      <c r="A21" s="8" t="n">
        <v>19</v>
      </c>
      <c r="B21" s="9" t="inlineStr">
        <is>
          <t>Costa de Marfil</t>
        </is>
      </c>
      <c r="C21" s="9" t="inlineStr">
        <is>
          <t>Emerse Faé</t>
        </is>
      </c>
      <c r="D21" s="9" t="inlineStr">
        <is>
          <t>Costa de Marfil</t>
        </is>
      </c>
      <c r="E21" s="8" t="n">
        <v>2024</v>
      </c>
      <c r="F21" s="9" t="inlineStr">
        <is>
          <t>Asistente de Costa de Marfil</t>
        </is>
      </c>
      <c r="G21" s="9" t="inlineStr">
        <is>
          <t>Campeón de la Copa Africana 2023</t>
        </is>
      </c>
      <c r="H21" s="23" t="n">
        <v>26</v>
      </c>
      <c r="I21" s="23" t="n">
        <v>6</v>
      </c>
      <c r="J21" s="23" t="n">
        <v>32</v>
      </c>
    </row>
    <row r="22" ht="15" customHeight="1" s="33">
      <c r="A22" s="8" t="n">
        <v>20</v>
      </c>
      <c r="B22" s="9" t="inlineStr">
        <is>
          <t>Ecuador</t>
        </is>
      </c>
      <c r="C22" s="9" t="inlineStr">
        <is>
          <t>Sebastián Beccacece</t>
        </is>
      </c>
      <c r="D22" s="9" t="inlineStr">
        <is>
          <t>Argentina</t>
        </is>
      </c>
      <c r="E22" s="8" t="n">
        <v>2024</v>
      </c>
      <c r="F22" s="9" t="inlineStr">
        <is>
          <t>DT Elche</t>
        </is>
      </c>
      <c r="G22" s="9" t="n"/>
      <c r="H22" s="23" t="n">
        <v>16</v>
      </c>
      <c r="I22" s="23" t="n">
        <v>16</v>
      </c>
      <c r="J22" s="23" t="n">
        <v>32</v>
      </c>
    </row>
    <row r="23" ht="23.25" customHeight="1" s="33">
      <c r="A23" s="11" t="n">
        <v>21</v>
      </c>
      <c r="B23" s="12" t="inlineStr">
        <is>
          <t>Países Bajos</t>
        </is>
      </c>
      <c r="C23" s="12" t="inlineStr">
        <is>
          <t>Ronald Koeman</t>
        </is>
      </c>
      <c r="D23" s="12" t="inlineStr">
        <is>
          <t>Países Bajos</t>
        </is>
      </c>
      <c r="E23" s="11" t="n">
        <v>2023</v>
      </c>
      <c r="F23" s="12" t="inlineStr">
        <is>
          <t>DT selección Países Bajos (1ª etapa)</t>
        </is>
      </c>
      <c r="G23" s="12" t="inlineStr">
        <is>
          <t>Único en jugar y dirigir a Ajax, PSV y Feyenoord</t>
        </is>
      </c>
      <c r="H23" s="23" t="n">
        <v>26</v>
      </c>
      <c r="I23" s="23" t="n">
        <v>30</v>
      </c>
      <c r="J23" s="23" t="n">
        <v>56</v>
      </c>
    </row>
    <row r="24" ht="15" customHeight="1" s="33">
      <c r="A24" s="11" t="n">
        <v>22</v>
      </c>
      <c r="B24" s="12" t="inlineStr">
        <is>
          <t>Japón</t>
        </is>
      </c>
      <c r="C24" s="12" t="inlineStr">
        <is>
          <t>Hajime Moriyasu</t>
        </is>
      </c>
      <c r="D24" s="12" t="inlineStr">
        <is>
          <t>Japón</t>
        </is>
      </c>
      <c r="E24" s="11" t="n">
        <v>2018</v>
      </c>
      <c r="F24" s="12" t="inlineStr">
        <is>
          <t>DT Japón sub-23</t>
        </is>
      </c>
      <c r="G24" s="12" t="inlineStr">
        <is>
          <t>Dirigió a Japón en el Mundial 2022</t>
        </is>
      </c>
      <c r="H24" s="23" t="n">
        <v>24</v>
      </c>
      <c r="I24" s="23" t="n">
        <v>14</v>
      </c>
      <c r="J24" s="23" t="n">
        <v>38</v>
      </c>
    </row>
    <row r="25" ht="15" customHeight="1" s="33">
      <c r="A25" s="11" t="n">
        <v>23</v>
      </c>
      <c r="B25" s="12" t="inlineStr">
        <is>
          <t>Suecia</t>
        </is>
      </c>
      <c r="C25" s="12" t="inlineStr">
        <is>
          <t>Graham Potter</t>
        </is>
      </c>
      <c r="D25" s="12" t="inlineStr">
        <is>
          <t>Inglaterra</t>
        </is>
      </c>
      <c r="E25" s="11" t="n">
        <v>2025</v>
      </c>
      <c r="F25" s="12" t="inlineStr">
        <is>
          <t>DT Chelsea</t>
        </is>
      </c>
      <c r="G25" s="12" t="inlineStr">
        <is>
          <t>Ex Brighton</t>
        </is>
      </c>
      <c r="H25" s="23" t="n">
        <v>8</v>
      </c>
      <c r="I25" s="23" t="n">
        <v>22</v>
      </c>
      <c r="J25" s="23" t="n">
        <v>30</v>
      </c>
    </row>
    <row r="26" ht="15" customHeight="1" s="33">
      <c r="A26" s="11" t="n">
        <v>24</v>
      </c>
      <c r="B26" s="12" t="inlineStr">
        <is>
          <t>Túnez</t>
        </is>
      </c>
      <c r="C26" s="12" t="inlineStr">
        <is>
          <t>Sami Trabelsi</t>
        </is>
      </c>
      <c r="D26" s="12" t="inlineStr">
        <is>
          <t>Túnez</t>
        </is>
      </c>
      <c r="E26" s="11" t="n">
        <v>2025</v>
      </c>
      <c r="F26" s="12" t="inlineStr">
        <is>
          <t>DT Al-Sailiya</t>
        </is>
      </c>
      <c r="G26" s="12" t="inlineStr">
        <is>
          <t>Cambio reciente en el banco tunecino</t>
        </is>
      </c>
      <c r="H26" s="23" t="n">
        <v>14</v>
      </c>
      <c r="I26" s="23" t="n">
        <v>8</v>
      </c>
      <c r="J26" s="23" t="n">
        <v>22</v>
      </c>
    </row>
    <row r="27" ht="15" customHeight="1" s="33">
      <c r="A27" s="8" t="n">
        <v>25</v>
      </c>
      <c r="B27" s="9" t="inlineStr">
        <is>
          <t>Bélgica</t>
        </is>
      </c>
      <c r="C27" s="9" t="inlineStr">
        <is>
          <t>Rudi Garcia</t>
        </is>
      </c>
      <c r="D27" s="9" t="inlineStr">
        <is>
          <t>Francia</t>
        </is>
      </c>
      <c r="E27" s="8" t="n">
        <v>2025</v>
      </c>
      <c r="F27" s="9" t="inlineStr">
        <is>
          <t>DT Napoli</t>
        </is>
      </c>
      <c r="G27" s="9" t="inlineStr">
        <is>
          <t>Ex Roma, Marsella y Lyon</t>
        </is>
      </c>
      <c r="H27" s="23" t="n">
        <v>8</v>
      </c>
      <c r="I27" s="23" t="n">
        <v>30</v>
      </c>
      <c r="J27" s="23" t="n">
        <v>38</v>
      </c>
    </row>
    <row r="28" ht="15" customHeight="1" s="33">
      <c r="A28" s="8" t="n">
        <v>26</v>
      </c>
      <c r="B28" s="9" t="inlineStr">
        <is>
          <t>Egipto</t>
        </is>
      </c>
      <c r="C28" s="9" t="inlineStr">
        <is>
          <t>Hossam Hassan</t>
        </is>
      </c>
      <c r="D28" s="9" t="inlineStr">
        <is>
          <t>Egipto</t>
        </is>
      </c>
      <c r="E28" s="8" t="n">
        <v>2024</v>
      </c>
      <c r="F28" s="9" t="inlineStr">
        <is>
          <t>DT Modern Future</t>
        </is>
      </c>
      <c r="G28" s="9" t="inlineStr">
        <is>
          <t>Máximo goleador histórico de Egipto como jugador</t>
        </is>
      </c>
      <c r="H28" s="23" t="n">
        <v>16</v>
      </c>
      <c r="I28" s="23" t="n">
        <v>14</v>
      </c>
      <c r="J28" s="23" t="n">
        <v>30</v>
      </c>
    </row>
    <row r="29" ht="15" customHeight="1" s="33">
      <c r="A29" s="8" t="n">
        <v>27</v>
      </c>
      <c r="B29" s="9" t="inlineStr">
        <is>
          <t>Irán</t>
        </is>
      </c>
      <c r="C29" s="9" t="inlineStr">
        <is>
          <t>Amir Ghalenoei</t>
        </is>
      </c>
      <c r="D29" s="9" t="inlineStr">
        <is>
          <t>Irán</t>
        </is>
      </c>
      <c r="E29" s="8" t="n">
        <v>2023</v>
      </c>
      <c r="F29" s="9" t="inlineStr">
        <is>
          <t>DT Gol Gohar</t>
        </is>
      </c>
      <c r="G29" s="9" t="inlineStr">
        <is>
          <t>Segunda etapa al frente de Irán</t>
        </is>
      </c>
      <c r="H29" s="23" t="n">
        <v>18</v>
      </c>
      <c r="I29" s="23" t="n">
        <v>14</v>
      </c>
      <c r="J29" s="23" t="n">
        <v>32</v>
      </c>
    </row>
    <row r="30" ht="15" customHeight="1" s="33">
      <c r="A30" s="8" t="n">
        <v>28</v>
      </c>
      <c r="B30" s="9" t="inlineStr">
        <is>
          <t>Nueva Zelanda</t>
        </is>
      </c>
      <c r="C30" s="9" t="inlineStr">
        <is>
          <t>Darren Bazeley</t>
        </is>
      </c>
      <c r="D30" s="9" t="inlineStr">
        <is>
          <t>Inglaterra</t>
        </is>
      </c>
      <c r="E30" s="8" t="n">
        <v>2023</v>
      </c>
      <c r="F30" s="9" t="inlineStr">
        <is>
          <t>DT Nueva Zelanda sub-23</t>
        </is>
      </c>
      <c r="G30" s="9" t="n"/>
      <c r="H30" s="23" t="n">
        <v>10</v>
      </c>
      <c r="I30" s="23" t="n">
        <v>6</v>
      </c>
      <c r="J30" s="23" t="n">
        <v>16</v>
      </c>
    </row>
    <row r="31" ht="23.25" customHeight="1" s="33">
      <c r="A31" s="11" t="n">
        <v>29</v>
      </c>
      <c r="B31" s="12" t="inlineStr">
        <is>
          <t>España</t>
        </is>
      </c>
      <c r="C31" s="12" t="inlineStr">
        <is>
          <t>Luis de la Fuente</t>
        </is>
      </c>
      <c r="D31" s="12" t="inlineStr">
        <is>
          <t>España</t>
        </is>
      </c>
      <c r="E31" s="11" t="n">
        <v>2022</v>
      </c>
      <c r="F31" s="12" t="inlineStr">
        <is>
          <t>DT España sub-21</t>
        </is>
      </c>
      <c r="G31" s="12" t="inlineStr">
        <is>
          <t>Campeón de la UEFA Nations League 2023 y la Euro 2024</t>
        </is>
      </c>
      <c r="H31" s="23" t="n">
        <v>34</v>
      </c>
      <c r="I31" s="23" t="n">
        <v>6</v>
      </c>
      <c r="J31" s="23" t="n">
        <v>40</v>
      </c>
    </row>
    <row r="32" ht="15" customHeight="1" s="33">
      <c r="A32" s="11" t="n">
        <v>30</v>
      </c>
      <c r="B32" s="12" t="inlineStr">
        <is>
          <t>Cabo Verde</t>
        </is>
      </c>
      <c r="C32" s="12" t="inlineStr">
        <is>
          <t>Pedro Brito 'Bubista'</t>
        </is>
      </c>
      <c r="D32" s="12" t="inlineStr">
        <is>
          <t>Cabo Verde</t>
        </is>
      </c>
      <c r="E32" s="11" t="n">
        <v>2020</v>
      </c>
      <c r="F32" s="12" t="inlineStr">
        <is>
          <t>DT de clubes</t>
        </is>
      </c>
      <c r="G32" s="12" t="inlineStr">
        <is>
          <t>Clasificó a Cabo Verde a su primer Mundial</t>
        </is>
      </c>
      <c r="H32" s="23" t="n">
        <v>14</v>
      </c>
      <c r="I32" s="23" t="n">
        <v>6</v>
      </c>
      <c r="J32" s="23" t="n">
        <v>20</v>
      </c>
    </row>
    <row r="33" ht="15" customHeight="1" s="33">
      <c r="A33" s="11" t="n">
        <v>31</v>
      </c>
      <c r="B33" s="12" t="inlineStr">
        <is>
          <t>Arabia Saudita</t>
        </is>
      </c>
      <c r="C33" s="12" t="inlineStr">
        <is>
          <t>Giorgos Donis</t>
        </is>
      </c>
      <c r="D33" s="12" t="inlineStr">
        <is>
          <t>Grecia</t>
        </is>
      </c>
      <c r="E33" s="11" t="n">
        <v>2025</v>
      </c>
      <c r="F33" s="12" t="inlineStr">
        <is>
          <t>DT Al-Fateh</t>
        </is>
      </c>
      <c r="G33" s="12" t="inlineStr">
        <is>
          <t>Asumió en abril-2026 en reemplazo de Hervé Renard</t>
        </is>
      </c>
      <c r="H33" s="23" t="n">
        <v>8</v>
      </c>
      <c r="I33" s="23" t="n">
        <v>14</v>
      </c>
      <c r="J33" s="23" t="n">
        <v>22</v>
      </c>
    </row>
    <row r="34" ht="15" customHeight="1" s="33">
      <c r="A34" s="11" t="n">
        <v>32</v>
      </c>
      <c r="B34" s="12" t="inlineStr">
        <is>
          <t>Uruguay</t>
        </is>
      </c>
      <c r="C34" s="12" t="inlineStr">
        <is>
          <t>Marcelo Bielsa</t>
        </is>
      </c>
      <c r="D34" s="12" t="inlineStr">
        <is>
          <t>Argentina</t>
        </is>
      </c>
      <c r="E34" s="11" t="n">
        <v>2023</v>
      </c>
      <c r="F34" s="12" t="inlineStr">
        <is>
          <t>DT Leeds United</t>
        </is>
      </c>
      <c r="G34" s="12" t="inlineStr">
        <is>
          <t>Exseleccionador de Argentina y Chile</t>
        </is>
      </c>
      <c r="H34" s="23" t="n">
        <v>30</v>
      </c>
      <c r="I34" s="23" t="n">
        <v>26</v>
      </c>
      <c r="J34" s="23" t="n">
        <v>56</v>
      </c>
    </row>
    <row r="35" ht="23.25" customHeight="1" s="33">
      <c r="A35" s="8" t="n">
        <v>33</v>
      </c>
      <c r="B35" s="9" t="inlineStr">
        <is>
          <t>Francia</t>
        </is>
      </c>
      <c r="C35" s="9" t="inlineStr">
        <is>
          <t>Didier Deschamps</t>
        </is>
      </c>
      <c r="D35" s="9" t="inlineStr">
        <is>
          <t>Francia</t>
        </is>
      </c>
      <c r="E35" s="8" t="n">
        <v>2012</v>
      </c>
      <c r="F35" s="9" t="inlineStr">
        <is>
          <t>DT Marsella</t>
        </is>
      </c>
      <c r="G35" s="9" t="inlineStr">
        <is>
          <t>Campeón del Mundial 2018 y finalista 2022; última competencia en el cargo</t>
        </is>
      </c>
      <c r="H35" s="23" t="n">
        <v>50</v>
      </c>
      <c r="I35" s="23" t="n">
        <v>28</v>
      </c>
      <c r="J35" s="23" t="n">
        <v>78</v>
      </c>
    </row>
    <row r="36" ht="15" customHeight="1" s="33">
      <c r="A36" s="8" t="n">
        <v>34</v>
      </c>
      <c r="B36" s="9" t="inlineStr">
        <is>
          <t>Senegal</t>
        </is>
      </c>
      <c r="C36" s="9" t="inlineStr">
        <is>
          <t>Pape Thiaw</t>
        </is>
      </c>
      <c r="D36" s="9" t="inlineStr">
        <is>
          <t>Senegal</t>
        </is>
      </c>
      <c r="E36" s="8" t="n">
        <v>2024</v>
      </c>
      <c r="F36" s="9" t="inlineStr">
        <is>
          <t>Asistente de Senegal</t>
        </is>
      </c>
      <c r="G36" s="9" t="n"/>
      <c r="H36" s="23" t="n">
        <v>12</v>
      </c>
      <c r="I36" s="23" t="n">
        <v>8</v>
      </c>
      <c r="J36" s="23" t="n">
        <v>20</v>
      </c>
    </row>
    <row r="37" ht="15" customHeight="1" s="33">
      <c r="A37" s="8" t="n">
        <v>35</v>
      </c>
      <c r="B37" s="9" t="inlineStr">
        <is>
          <t>Irak</t>
        </is>
      </c>
      <c r="C37" s="9" t="inlineStr">
        <is>
          <t>Graham Arnold</t>
        </is>
      </c>
      <c r="D37" s="9" t="inlineStr">
        <is>
          <t>Australia</t>
        </is>
      </c>
      <c r="E37" s="8" t="n">
        <v>2025</v>
      </c>
      <c r="F37" s="9" t="inlineStr">
        <is>
          <t>DT selección de Australia</t>
        </is>
      </c>
      <c r="G37" s="9" t="inlineStr">
        <is>
          <t>Dos etapas al frente de Australia</t>
        </is>
      </c>
      <c r="H37" s="23" t="n">
        <v>20</v>
      </c>
      <c r="I37" s="23" t="n">
        <v>14</v>
      </c>
      <c r="J37" s="23" t="n">
        <v>34</v>
      </c>
    </row>
    <row r="38" ht="15" customHeight="1" s="33">
      <c r="A38" s="8" t="n">
        <v>36</v>
      </c>
      <c r="B38" s="9" t="inlineStr">
        <is>
          <t>Noruega</t>
        </is>
      </c>
      <c r="C38" s="9" t="inlineStr">
        <is>
          <t>Ståle Solbakken</t>
        </is>
      </c>
      <c r="D38" s="9" t="inlineStr">
        <is>
          <t>Noruega</t>
        </is>
      </c>
      <c r="E38" s="8" t="n">
        <v>2020</v>
      </c>
      <c r="F38" s="9" t="inlineStr">
        <is>
          <t>DT FC Copenhague</t>
        </is>
      </c>
      <c r="G38" s="9" t="n"/>
      <c r="H38" s="23" t="n">
        <v>18</v>
      </c>
      <c r="I38" s="23" t="n">
        <v>20</v>
      </c>
      <c r="J38" s="23" t="n">
        <v>38</v>
      </c>
    </row>
    <row r="39" ht="23.25" customHeight="1" s="33">
      <c r="A39" s="11" t="n">
        <v>37</v>
      </c>
      <c r="B39" s="12" t="inlineStr">
        <is>
          <t>Argentina</t>
        </is>
      </c>
      <c r="C39" s="12" t="inlineStr">
        <is>
          <t>Lionel Scaloni</t>
        </is>
      </c>
      <c r="D39" s="12" t="inlineStr">
        <is>
          <t>Argentina</t>
        </is>
      </c>
      <c r="E39" s="11" t="n">
        <v>2018</v>
      </c>
      <c r="F39" s="12" t="inlineStr">
        <is>
          <t>Asistente de Argentina</t>
        </is>
      </c>
      <c r="G39" s="12" t="inlineStr">
        <is>
          <t>Campeón del Mundial 2022 y de la Copa América 2021 y 2024</t>
        </is>
      </c>
      <c r="H39" s="23" t="n">
        <v>48</v>
      </c>
      <c r="I39" s="23" t="n">
        <v>4</v>
      </c>
      <c r="J39" s="23" t="n">
        <v>52</v>
      </c>
    </row>
    <row r="40" ht="23.25" customHeight="1" s="33">
      <c r="A40" s="11" t="n">
        <v>38</v>
      </c>
      <c r="B40" s="12" t="inlineStr">
        <is>
          <t>Argelia</t>
        </is>
      </c>
      <c r="C40" s="12" t="inlineStr">
        <is>
          <t>Vladimir Petković</t>
        </is>
      </c>
      <c r="D40" s="12" t="inlineStr">
        <is>
          <t>Bosnia y Herzegovina</t>
        </is>
      </c>
      <c r="E40" s="11" t="n">
        <v>2024</v>
      </c>
      <c r="F40" s="12" t="inlineStr">
        <is>
          <t>DT selección de Suiza</t>
        </is>
      </c>
      <c r="G40" s="12" t="inlineStr">
        <is>
          <t>Ex DT de Lazio y Burdeos</t>
        </is>
      </c>
      <c r="H40" s="23" t="n">
        <v>26</v>
      </c>
      <c r="I40" s="23" t="n">
        <v>18</v>
      </c>
      <c r="J40" s="23" t="n">
        <v>44</v>
      </c>
    </row>
    <row r="41" ht="15" customHeight="1" s="33">
      <c r="A41" s="11" t="n">
        <v>39</v>
      </c>
      <c r="B41" s="12" t="inlineStr">
        <is>
          <t>Austria</t>
        </is>
      </c>
      <c r="C41" s="12" t="inlineStr">
        <is>
          <t>Ralf Rangnick</t>
        </is>
      </c>
      <c r="D41" s="12" t="inlineStr">
        <is>
          <t>Alemania</t>
        </is>
      </c>
      <c r="E41" s="11" t="n">
        <v>2022</v>
      </c>
      <c r="F41" s="12" t="inlineStr">
        <is>
          <t>DT interino Manchester United</t>
        </is>
      </c>
      <c r="G41" s="12" t="inlineStr">
        <is>
          <t>Referente del pressing alemán moderno</t>
        </is>
      </c>
      <c r="H41" s="23" t="n">
        <v>22</v>
      </c>
      <c r="I41" s="23" t="n">
        <v>32</v>
      </c>
      <c r="J41" s="23" t="n">
        <v>54</v>
      </c>
    </row>
    <row r="42" ht="15" customHeight="1" s="33">
      <c r="A42" s="11" t="n">
        <v>40</v>
      </c>
      <c r="B42" s="12" t="inlineStr">
        <is>
          <t>Jordania</t>
        </is>
      </c>
      <c r="C42" s="12" t="inlineStr">
        <is>
          <t>Jamal Sellami</t>
        </is>
      </c>
      <c r="D42" s="12" t="inlineStr">
        <is>
          <t>Marruecos</t>
        </is>
      </c>
      <c r="E42" s="11" t="n">
        <v>2024</v>
      </c>
      <c r="F42" s="12" t="inlineStr">
        <is>
          <t>DT Marruecos sub-23</t>
        </is>
      </c>
      <c r="G42" s="12" t="inlineStr">
        <is>
          <t>Clasificó a Jordania a su primer Mundial</t>
        </is>
      </c>
      <c r="H42" s="23" t="n">
        <v>16</v>
      </c>
      <c r="I42" s="23" t="n">
        <v>8</v>
      </c>
      <c r="J42" s="23" t="n">
        <v>24</v>
      </c>
    </row>
    <row r="43" ht="15" customHeight="1" s="33">
      <c r="A43" s="8" t="n">
        <v>41</v>
      </c>
      <c r="B43" s="9" t="inlineStr">
        <is>
          <t>Portugal</t>
        </is>
      </c>
      <c r="C43" s="9" t="inlineStr">
        <is>
          <t>Roberto Martínez</t>
        </is>
      </c>
      <c r="D43" s="9" t="inlineStr">
        <is>
          <t>España</t>
        </is>
      </c>
      <c r="E43" s="8" t="n">
        <v>2023</v>
      </c>
      <c r="F43" s="9" t="inlineStr">
        <is>
          <t>DT selección de Bélgica</t>
        </is>
      </c>
      <c r="G43" s="9" t="inlineStr">
        <is>
          <t>3er puesto en el Mundial 2018 con Bélgica</t>
        </is>
      </c>
      <c r="H43" s="23" t="n">
        <v>28</v>
      </c>
      <c r="I43" s="23" t="n">
        <v>22</v>
      </c>
      <c r="J43" s="23" t="n">
        <v>50</v>
      </c>
    </row>
    <row r="44" ht="15" customHeight="1" s="33">
      <c r="A44" s="8" t="n">
        <v>42</v>
      </c>
      <c r="B44" s="9" t="inlineStr">
        <is>
          <t>RD Congo</t>
        </is>
      </c>
      <c r="C44" s="9" t="inlineStr">
        <is>
          <t>Sébastien Desabre</t>
        </is>
      </c>
      <c r="D44" s="9" t="inlineStr">
        <is>
          <t>Francia</t>
        </is>
      </c>
      <c r="E44" s="8" t="n">
        <v>2022</v>
      </c>
      <c r="F44" s="9" t="inlineStr">
        <is>
          <t>DT selección de Uganda</t>
        </is>
      </c>
      <c r="G44" s="9" t="n"/>
      <c r="H44" s="23" t="n">
        <v>18</v>
      </c>
      <c r="I44" s="23" t="n">
        <v>10</v>
      </c>
      <c r="J44" s="23" t="n">
        <v>28</v>
      </c>
    </row>
    <row r="45" ht="23.25" customHeight="1" s="33">
      <c r="A45" s="8" t="n">
        <v>43</v>
      </c>
      <c r="B45" s="9" t="inlineStr">
        <is>
          <t>Uzbekistán</t>
        </is>
      </c>
      <c r="C45" s="9" t="inlineStr">
        <is>
          <t>Fabio Cannavaro</t>
        </is>
      </c>
      <c r="D45" s="9" t="inlineStr">
        <is>
          <t>Italia</t>
        </is>
      </c>
      <c r="E45" s="8" t="n">
        <v>2025</v>
      </c>
      <c r="F45" s="9" t="inlineStr">
        <is>
          <t>DT Udinese</t>
        </is>
      </c>
      <c r="G45" s="9" t="inlineStr">
        <is>
          <t>Campeón del Mundial 2006 y Balón de Oro como jugador; primer Mundial como DT</t>
        </is>
      </c>
      <c r="H45" s="23" t="n">
        <v>8</v>
      </c>
      <c r="I45" s="23" t="n">
        <v>18</v>
      </c>
      <c r="J45" s="23" t="n">
        <v>26</v>
      </c>
    </row>
    <row r="46" ht="15" customHeight="1" s="33">
      <c r="A46" s="8" t="n">
        <v>44</v>
      </c>
      <c r="B46" s="9" t="inlineStr">
        <is>
          <t>Colombia</t>
        </is>
      </c>
      <c r="C46" s="9" t="inlineStr">
        <is>
          <t>Néstor Lorenzo</t>
        </is>
      </c>
      <c r="D46" s="9" t="inlineStr">
        <is>
          <t>Argentina</t>
        </is>
      </c>
      <c r="E46" s="8" t="n">
        <v>2022</v>
      </c>
      <c r="F46" s="9" t="inlineStr">
        <is>
          <t>DT Melgar</t>
        </is>
      </c>
      <c r="G46" s="9" t="inlineStr">
        <is>
          <t>Siete años como asistente de Pékerman en Colombia</t>
        </is>
      </c>
      <c r="H46" s="23" t="n">
        <v>22</v>
      </c>
      <c r="I46" s="23" t="n">
        <v>12</v>
      </c>
      <c r="J46" s="23" t="n">
        <v>34</v>
      </c>
    </row>
    <row r="47" ht="15" customHeight="1" s="33">
      <c r="A47" s="11" t="n">
        <v>45</v>
      </c>
      <c r="B47" s="12" t="inlineStr">
        <is>
          <t>Inglaterra</t>
        </is>
      </c>
      <c r="C47" s="12" t="inlineStr">
        <is>
          <t>Thomas Tuchel</t>
        </is>
      </c>
      <c r="D47" s="12" t="inlineStr">
        <is>
          <t>Alemania</t>
        </is>
      </c>
      <c r="E47" s="11" t="n">
        <v>2025</v>
      </c>
      <c r="F47" s="12" t="inlineStr">
        <is>
          <t>DT Bayern Múnich</t>
        </is>
      </c>
      <c r="G47" s="12" t="inlineStr">
        <is>
          <t>Campeón de la Champions 2021 con Chelsea</t>
        </is>
      </c>
      <c r="H47" s="23" t="n">
        <v>12</v>
      </c>
      <c r="I47" s="23" t="n">
        <v>40</v>
      </c>
      <c r="J47" s="23" t="n">
        <v>52</v>
      </c>
    </row>
    <row r="48" ht="15" customHeight="1" s="33">
      <c r="A48" s="11" t="n">
        <v>46</v>
      </c>
      <c r="B48" s="12" t="inlineStr">
        <is>
          <t>Croacia</t>
        </is>
      </c>
      <c r="C48" s="12" t="inlineStr">
        <is>
          <t>Zlatko Dalić</t>
        </is>
      </c>
      <c r="D48" s="12" t="inlineStr">
        <is>
          <t>Croacia</t>
        </is>
      </c>
      <c r="E48" s="11" t="n">
        <v>2017</v>
      </c>
      <c r="F48" s="12" t="inlineStr">
        <is>
          <t>DT Al Ain</t>
        </is>
      </c>
      <c r="G48" s="12" t="inlineStr">
        <is>
          <t>Subcampeón del Mundial 2018 y 3er puesto 2022</t>
        </is>
      </c>
      <c r="H48" s="23" t="n">
        <v>36</v>
      </c>
      <c r="I48" s="23" t="n">
        <v>14</v>
      </c>
      <c r="J48" s="23" t="n">
        <v>50</v>
      </c>
    </row>
    <row r="49" ht="23.25" customHeight="1" s="33">
      <c r="A49" s="11" t="n">
        <v>47</v>
      </c>
      <c r="B49" s="12" t="inlineStr">
        <is>
          <t>Ghana</t>
        </is>
      </c>
      <c r="C49" s="24" t="inlineStr">
        <is>
          <t>Carlos Queiroz</t>
        </is>
      </c>
      <c r="D49" s="12" t="inlineStr">
        <is>
          <t>Portugal</t>
        </is>
      </c>
      <c r="E49" s="11" t="n">
        <v>2026</v>
      </c>
      <c r="F49" s="12" t="inlineStr">
        <is>
          <t>Exseleccionador (Irán, Egipto, etc.)</t>
        </is>
      </c>
      <c r="G49" s="12" t="inlineStr">
        <is>
          <t>Asumió en abril-2026 tras la salida de Otto Addo; ex asistente del Man Utd</t>
        </is>
      </c>
      <c r="H49" s="23" t="n">
        <v>28</v>
      </c>
      <c r="I49" s="23" t="n">
        <v>18</v>
      </c>
      <c r="J49" s="23" t="n">
        <v>46</v>
      </c>
    </row>
    <row r="50" ht="15" customHeight="1" s="33">
      <c r="A50" s="11" t="n">
        <v>48</v>
      </c>
      <c r="B50" s="12" t="inlineStr">
        <is>
          <t>Panamá</t>
        </is>
      </c>
      <c r="C50" s="12" t="inlineStr">
        <is>
          <t>Thomas Christiansen</t>
        </is>
      </c>
      <c r="D50" s="12" t="inlineStr">
        <is>
          <t>España</t>
        </is>
      </c>
      <c r="E50" s="11" t="n">
        <v>2020</v>
      </c>
      <c r="F50" s="12" t="inlineStr">
        <is>
          <t>Asistente en Leeds United</t>
        </is>
      </c>
      <c r="G50" s="12" t="inlineStr">
        <is>
          <t>Clasificó a Panamá a su segundo Mundial</t>
        </is>
      </c>
      <c r="H50" s="23" t="n">
        <v>18</v>
      </c>
      <c r="I50" s="23" t="n">
        <v>14</v>
      </c>
      <c r="J50" s="23" t="n">
        <v>32</v>
      </c>
    </row>
    <row r="51" ht="15.75" customHeight="1" s="33"/>
    <row r="52" ht="15" customHeight="1" s="33">
      <c r="B52" s="36" t="inlineStr">
        <is>
          <t>Celdas amarillas = cambio de DT reciente (Ghana: Queiroz por Addo; Marruecos: Ouahbi por Regragui), verificar antes del torneo. Fuente: FIFPlay / Soccerphile / Bolavip (consultado 24-jun-2026). Más de la mitad de las 48 selecciones tienen DT extranjero.</t>
        </is>
      </c>
    </row>
    <row r="53" ht="1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B52:G53"/>
    <mergeCell ref="A1:G1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/>
  <cols>
    <col width="5" customWidth="1" style="33" min="1" max="1"/>
    <col width="24" customWidth="1" style="33" min="2" max="2"/>
    <col width="14" customWidth="1" style="33" min="3" max="3"/>
    <col width="7" customWidth="1" style="33" min="4" max="9"/>
    <col width="8" customWidth="1" style="33" min="10" max="10"/>
    <col width="7" customWidth="1" style="33" min="11" max="11"/>
    <col width="9" customWidth="1" style="33" min="12" max="12"/>
    <col width="8" customWidth="1" style="33" min="13" max="14"/>
    <col width="8.7109375" customWidth="1" style="33" min="15" max="26"/>
  </cols>
  <sheetData>
    <row r="1" ht="24" customHeight="1" s="33">
      <c r="A1" s="34" t="inlineStr">
        <is>
          <t>Clasificatorias / Eliminatorias — rendimiento por selección  (cargá PJ, PG, PE, PP, GF, GC)</t>
        </is>
      </c>
    </row>
    <row r="2" ht="15" customHeight="1" s="33">
      <c r="A2" s="25" t="inlineStr">
        <is>
          <t>N°</t>
        </is>
      </c>
      <c r="B2" s="25" t="inlineStr">
        <is>
          <t>País</t>
        </is>
      </c>
      <c r="C2" s="25" t="inlineStr">
        <is>
          <t>Confederación</t>
        </is>
      </c>
      <c r="D2" s="25" t="inlineStr">
        <is>
          <t>PJ</t>
        </is>
      </c>
      <c r="E2" s="25" t="inlineStr">
        <is>
          <t>PG</t>
        </is>
      </c>
      <c r="F2" s="25" t="inlineStr">
        <is>
          <t>PE</t>
        </is>
      </c>
      <c r="G2" s="25" t="inlineStr">
        <is>
          <t>PP</t>
        </is>
      </c>
      <c r="H2" s="25" t="inlineStr">
        <is>
          <t>GF</t>
        </is>
      </c>
      <c r="I2" s="25" t="inlineStr">
        <is>
          <t>GC</t>
        </is>
      </c>
      <c r="J2" s="25" t="inlineStr">
        <is>
          <t>Pts</t>
        </is>
      </c>
      <c r="K2" s="25" t="inlineStr">
        <is>
          <t>DG</t>
        </is>
      </c>
      <c r="L2" s="25" t="inlineStr">
        <is>
          <t>% Pts</t>
        </is>
      </c>
      <c r="M2" s="25" t="inlineStr">
        <is>
          <t>GF/PJ</t>
        </is>
      </c>
      <c r="N2" s="25" t="inlineStr">
        <is>
          <t>GC/PJ</t>
        </is>
      </c>
      <c r="O2" s="23" t="inlineStr">
        <is>
          <t>Dificultad conf.</t>
        </is>
      </c>
      <c r="P2" s="23" t="inlineStr">
        <is>
          <t>Puntaje clasif. ponderado</t>
        </is>
      </c>
    </row>
    <row r="3" ht="15" customHeight="1" s="33">
      <c r="A3" s="8" t="n">
        <v>1</v>
      </c>
      <c r="B3" s="9" t="inlineStr">
        <is>
          <t>México</t>
        </is>
      </c>
      <c r="C3" s="8" t="inlineStr">
        <is>
          <t>CONCACAF</t>
        </is>
      </c>
      <c r="D3" s="26" t="n"/>
      <c r="E3" s="26" t="n"/>
      <c r="F3" s="26" t="n"/>
      <c r="G3" s="26" t="n"/>
      <c r="H3" s="26" t="n"/>
      <c r="I3" s="26" t="n"/>
      <c r="J3" s="8">
        <f>IF(COUNT(D3:G3)=0,"",3*E3+F3)</f>
        <v/>
      </c>
      <c r="K3" s="8">
        <f>IF(COUNT(H3:I3)=0,"",H3-I3)</f>
        <v/>
      </c>
      <c r="L3" s="19">
        <f>IF(N(D3)=0,"",(3*E3+F3)/(D3*3))</f>
        <v/>
      </c>
      <c r="M3" s="10">
        <f>IF(N(D3)=0,"",H3/D3)</f>
        <v/>
      </c>
      <c r="N3" s="10">
        <f>IF(N(D3)=0,"",I3/D3)</f>
        <v/>
      </c>
      <c r="O3" s="23" t="n">
        <v>0.5</v>
      </c>
      <c r="P3" s="23" t="n">
        <v>35</v>
      </c>
    </row>
    <row r="4" ht="15" customHeight="1" s="33">
      <c r="A4" s="8" t="n">
        <v>2</v>
      </c>
      <c r="B4" s="9" t="inlineStr">
        <is>
          <t>Sudáfrica</t>
        </is>
      </c>
      <c r="C4" s="8" t="inlineStr">
        <is>
          <t>CAF</t>
        </is>
      </c>
      <c r="D4" s="26" t="n">
        <v>10</v>
      </c>
      <c r="E4" s="26" t="n">
        <v>6</v>
      </c>
      <c r="F4" s="26" t="n">
        <v>2</v>
      </c>
      <c r="G4" s="26" t="n">
        <v>2</v>
      </c>
      <c r="H4" s="26" t="n">
        <v>14</v>
      </c>
      <c r="I4" s="26" t="n">
        <v>8</v>
      </c>
      <c r="J4" s="8">
        <f>IF(COUNT(D4:G4)=0,"",3*E4+F4)</f>
        <v/>
      </c>
      <c r="K4" s="8">
        <f>IF(COUNT(H4:I4)=0,"",H4-I4)</f>
        <v/>
      </c>
      <c r="L4" s="19">
        <f>IF(N(D4)=0,"",(3*E4+F4)/(D4*3))</f>
        <v/>
      </c>
      <c r="M4" s="10">
        <f>IF(N(D4)=0,"",H4/D4)</f>
        <v/>
      </c>
      <c r="N4" s="10">
        <f>IF(N(D4)=0,"",I4/D4)</f>
        <v/>
      </c>
      <c r="O4" s="23" t="n">
        <v>0.52</v>
      </c>
      <c r="P4" s="23" t="n">
        <v>34.7</v>
      </c>
    </row>
    <row r="5" ht="15" customHeight="1" s="33">
      <c r="A5" s="8" t="n">
        <v>3</v>
      </c>
      <c r="B5" s="9" t="inlineStr">
        <is>
          <t>Corea del Sur</t>
        </is>
      </c>
      <c r="C5" s="8" t="inlineStr">
        <is>
          <t>AFC</t>
        </is>
      </c>
      <c r="D5" s="26" t="n">
        <v>10</v>
      </c>
      <c r="E5" s="26" t="n">
        <v>7</v>
      </c>
      <c r="F5" s="26" t="n">
        <v>3</v>
      </c>
      <c r="G5" s="26" t="n">
        <v>0</v>
      </c>
      <c r="H5" s="26" t="n">
        <v>20</v>
      </c>
      <c r="I5" s="26" t="n">
        <v>6</v>
      </c>
      <c r="J5" s="8">
        <f>IF(COUNT(D5:G5)=0,"",3*E5+F5)</f>
        <v/>
      </c>
      <c r="K5" s="8">
        <f>IF(COUNT(H5:I5)=0,"",H5-I5)</f>
        <v/>
      </c>
      <c r="L5" s="19">
        <f>IF(N(D5)=0,"",(3*E5+F5)/(D5*3))</f>
        <v/>
      </c>
      <c r="M5" s="10">
        <f>IF(N(D5)=0,"",H5/D5)</f>
        <v/>
      </c>
      <c r="N5" s="10">
        <f>IF(N(D5)=0,"",I5/D5)</f>
        <v/>
      </c>
      <c r="O5" s="23" t="n">
        <v>0.48</v>
      </c>
      <c r="P5" s="23" t="n">
        <v>38.4</v>
      </c>
    </row>
    <row r="6" ht="15" customHeight="1" s="33">
      <c r="A6" s="8" t="n">
        <v>4</v>
      </c>
      <c r="B6" s="9" t="inlineStr">
        <is>
          <t>Chequia</t>
        </is>
      </c>
      <c r="C6" s="8" t="inlineStr">
        <is>
          <t>UEFA</t>
        </is>
      </c>
      <c r="D6" s="26" t="n">
        <v>8</v>
      </c>
      <c r="E6" s="26" t="n">
        <v>5</v>
      </c>
      <c r="F6" s="26" t="n">
        <v>1</v>
      </c>
      <c r="G6" s="26" t="n">
        <v>2</v>
      </c>
      <c r="H6" s="26" t="n">
        <v>14</v>
      </c>
      <c r="I6" s="26" t="n">
        <v>9</v>
      </c>
      <c r="J6" s="8">
        <f>IF(COUNT(D6:G6)=0,"",3*E6+F6)</f>
        <v/>
      </c>
      <c r="K6" s="8">
        <f>IF(COUNT(H6:I6)=0,"",H6-I6)</f>
        <v/>
      </c>
      <c r="L6" s="19">
        <f>IF(N(D6)=0,"",(3*E6+F6)/(D6*3))</f>
        <v/>
      </c>
      <c r="M6" s="10">
        <f>IF(N(D6)=0,"",H6/D6)</f>
        <v/>
      </c>
      <c r="N6" s="10">
        <f>IF(N(D6)=0,"",I6/D6)</f>
        <v/>
      </c>
      <c r="O6" s="23" t="n">
        <v>1</v>
      </c>
      <c r="P6" s="23" t="n">
        <v>66.7</v>
      </c>
    </row>
    <row r="7" ht="15" customHeight="1" s="33">
      <c r="A7" s="8" t="n">
        <v>5</v>
      </c>
      <c r="B7" s="9" t="inlineStr">
        <is>
          <t>Canadá</t>
        </is>
      </c>
      <c r="C7" s="8" t="inlineStr">
        <is>
          <t>CONCACAF</t>
        </is>
      </c>
      <c r="D7" s="26" t="n"/>
      <c r="E7" s="26" t="n"/>
      <c r="F7" s="26" t="n"/>
      <c r="G7" s="26" t="n"/>
      <c r="H7" s="26" t="n"/>
      <c r="I7" s="26" t="n"/>
      <c r="J7" s="8">
        <f>IF(COUNT(D7:G7)=0,"",3*E7+F7)</f>
        <v/>
      </c>
      <c r="K7" s="8">
        <f>IF(COUNT(H7:I7)=0,"",H7-I7)</f>
        <v/>
      </c>
      <c r="L7" s="19">
        <f>IF(N(D7)=0,"",(3*E7+F7)/(D7*3))</f>
        <v/>
      </c>
      <c r="M7" s="10">
        <f>IF(N(D7)=0,"",H7/D7)</f>
        <v/>
      </c>
      <c r="N7" s="10">
        <f>IF(N(D7)=0,"",I7/D7)</f>
        <v/>
      </c>
      <c r="O7" s="23" t="n">
        <v>0.5</v>
      </c>
      <c r="P7" s="23" t="n">
        <v>35</v>
      </c>
    </row>
    <row r="8" ht="15" customHeight="1" s="33">
      <c r="A8" s="8" t="n">
        <v>6</v>
      </c>
      <c r="B8" s="9" t="inlineStr">
        <is>
          <t>Bosnia y Herzegovina</t>
        </is>
      </c>
      <c r="C8" s="8" t="inlineStr">
        <is>
          <t>UEFA</t>
        </is>
      </c>
      <c r="D8" s="26" t="n">
        <v>8</v>
      </c>
      <c r="E8" s="26" t="n">
        <v>5</v>
      </c>
      <c r="F8" s="26" t="n">
        <v>2</v>
      </c>
      <c r="G8" s="26" t="n">
        <v>1</v>
      </c>
      <c r="H8" s="26" t="n">
        <v>14</v>
      </c>
      <c r="I8" s="26" t="n">
        <v>8</v>
      </c>
      <c r="J8" s="8">
        <f>IF(COUNT(D8:G8)=0,"",3*E8+F8)</f>
        <v/>
      </c>
      <c r="K8" s="8">
        <f>IF(COUNT(H8:I8)=0,"",H8-I8)</f>
        <v/>
      </c>
      <c r="L8" s="19">
        <f>IF(N(D8)=0,"",(3*E8+F8)/(D8*3))</f>
        <v/>
      </c>
      <c r="M8" s="10">
        <f>IF(N(D8)=0,"",H8/D8)</f>
        <v/>
      </c>
      <c r="N8" s="10">
        <f>IF(N(D8)=0,"",I8/D8)</f>
        <v/>
      </c>
      <c r="O8" s="23" t="n">
        <v>1</v>
      </c>
      <c r="P8" s="23" t="n">
        <v>70.8</v>
      </c>
    </row>
    <row r="9" ht="15" customHeight="1" s="33">
      <c r="A9" s="8" t="n">
        <v>7</v>
      </c>
      <c r="B9" s="9" t="inlineStr">
        <is>
          <t>Catar</t>
        </is>
      </c>
      <c r="C9" s="8" t="inlineStr">
        <is>
          <t>AFC</t>
        </is>
      </c>
      <c r="D9" s="26" t="n">
        <v>10</v>
      </c>
      <c r="E9" s="26" t="n">
        <v>6</v>
      </c>
      <c r="F9" s="26" t="n">
        <v>2</v>
      </c>
      <c r="G9" s="26" t="n">
        <v>2</v>
      </c>
      <c r="H9" s="26" t="n">
        <v>16</v>
      </c>
      <c r="I9" s="26" t="n">
        <v>9</v>
      </c>
      <c r="J9" s="8">
        <f>IF(COUNT(D9:G9)=0,"",3*E9+F9)</f>
        <v/>
      </c>
      <c r="K9" s="8">
        <f>IF(COUNT(H9:I9)=0,"",H9-I9)</f>
        <v/>
      </c>
      <c r="L9" s="19">
        <f>IF(N(D9)=0,"",(3*E9+F9)/(D9*3))</f>
        <v/>
      </c>
      <c r="M9" s="10">
        <f>IF(N(D9)=0,"",H9/D9)</f>
        <v/>
      </c>
      <c r="N9" s="10">
        <f>IF(N(D9)=0,"",I9/D9)</f>
        <v/>
      </c>
      <c r="O9" s="23" t="n">
        <v>0.48</v>
      </c>
      <c r="P9" s="23" t="n">
        <v>32</v>
      </c>
    </row>
    <row r="10" ht="15" customHeight="1" s="33">
      <c r="A10" s="8" t="n">
        <v>8</v>
      </c>
      <c r="B10" s="9" t="inlineStr">
        <is>
          <t>Suiza</t>
        </is>
      </c>
      <c r="C10" s="8" t="inlineStr">
        <is>
          <t>UEFA</t>
        </is>
      </c>
      <c r="D10" s="26" t="n">
        <v>8</v>
      </c>
      <c r="E10" s="26" t="n">
        <v>5</v>
      </c>
      <c r="F10" s="26" t="n">
        <v>3</v>
      </c>
      <c r="G10" s="26" t="n">
        <v>0</v>
      </c>
      <c r="H10" s="26" t="n">
        <v>15</v>
      </c>
      <c r="I10" s="26" t="n">
        <v>6</v>
      </c>
      <c r="J10" s="8">
        <f>IF(COUNT(D10:G10)=0,"",3*E10+F10)</f>
        <v/>
      </c>
      <c r="K10" s="8">
        <f>IF(COUNT(H10:I10)=0,"",H10-I10)</f>
        <v/>
      </c>
      <c r="L10" s="19">
        <f>IF(N(D10)=0,"",(3*E10+F10)/(D10*3))</f>
        <v/>
      </c>
      <c r="M10" s="10">
        <f>IF(N(D10)=0,"",H10/D10)</f>
        <v/>
      </c>
      <c r="N10" s="10">
        <f>IF(N(D10)=0,"",I10/D10)</f>
        <v/>
      </c>
      <c r="O10" s="23" t="n">
        <v>1</v>
      </c>
      <c r="P10" s="23" t="n">
        <v>75</v>
      </c>
    </row>
    <row r="11" ht="15" customHeight="1" s="33">
      <c r="A11" s="8" t="n">
        <v>9</v>
      </c>
      <c r="B11" s="9" t="inlineStr">
        <is>
          <t>Brasil</t>
        </is>
      </c>
      <c r="C11" s="8" t="inlineStr">
        <is>
          <t>CONMEBOL</t>
        </is>
      </c>
      <c r="D11" s="26" t="n">
        <v>18</v>
      </c>
      <c r="E11" s="26" t="n">
        <v>8</v>
      </c>
      <c r="F11" s="26" t="n">
        <v>4</v>
      </c>
      <c r="G11" s="26" t="n">
        <v>6</v>
      </c>
      <c r="H11" s="26" t="n">
        <v>24</v>
      </c>
      <c r="I11" s="26" t="n">
        <v>18</v>
      </c>
      <c r="J11" s="8">
        <f>IF(COUNT(D11:G11)=0,"",3*E11+F11)</f>
        <v/>
      </c>
      <c r="K11" s="8">
        <f>IF(COUNT(H11:I11)=0,"",H11-I11)</f>
        <v/>
      </c>
      <c r="L11" s="19">
        <f>IF(N(D11)=0,"",(3*E11+F11)/(D11*3))</f>
        <v/>
      </c>
      <c r="M11" s="10">
        <f>IF(N(D11)=0,"",H11/D11)</f>
        <v/>
      </c>
      <c r="N11" s="10">
        <f>IF(N(D11)=0,"",I11/D11)</f>
        <v/>
      </c>
      <c r="O11" s="23" t="n">
        <v>0.95</v>
      </c>
      <c r="P11" s="23" t="n">
        <v>49.3</v>
      </c>
    </row>
    <row r="12" ht="15" customHeight="1" s="33">
      <c r="A12" s="8" t="n">
        <v>10</v>
      </c>
      <c r="B12" s="9" t="inlineStr">
        <is>
          <t>Marruecos</t>
        </is>
      </c>
      <c r="C12" s="8" t="inlineStr">
        <is>
          <t>CAF</t>
        </is>
      </c>
      <c r="D12" s="26" t="n">
        <v>10</v>
      </c>
      <c r="E12" s="26" t="n">
        <v>8</v>
      </c>
      <c r="F12" s="26" t="n">
        <v>1</v>
      </c>
      <c r="G12" s="26" t="n">
        <v>1</v>
      </c>
      <c r="H12" s="26" t="n">
        <v>20</v>
      </c>
      <c r="I12" s="26" t="n">
        <v>5</v>
      </c>
      <c r="J12" s="8">
        <f>IF(COUNT(D12:G12)=0,"",3*E12+F12)</f>
        <v/>
      </c>
      <c r="K12" s="8">
        <f>IF(COUNT(H12:I12)=0,"",H12-I12)</f>
        <v/>
      </c>
      <c r="L12" s="19">
        <f>IF(N(D12)=0,"",(3*E12+F12)/(D12*3))</f>
        <v/>
      </c>
      <c r="M12" s="10">
        <f>IF(N(D12)=0,"",H12/D12)</f>
        <v/>
      </c>
      <c r="N12" s="10">
        <f>IF(N(D12)=0,"",I12/D12)</f>
        <v/>
      </c>
      <c r="O12" s="23" t="n">
        <v>0.52</v>
      </c>
      <c r="P12" s="23" t="n">
        <v>43.3</v>
      </c>
    </row>
    <row r="13" ht="15" customHeight="1" s="33">
      <c r="A13" s="8" t="n">
        <v>11</v>
      </c>
      <c r="B13" s="9" t="inlineStr">
        <is>
          <t>Haití</t>
        </is>
      </c>
      <c r="C13" s="8" t="inlineStr">
        <is>
          <t>CONCACAF</t>
        </is>
      </c>
      <c r="D13" s="26" t="n">
        <v>10</v>
      </c>
      <c r="E13" s="26" t="n">
        <v>5</v>
      </c>
      <c r="F13" s="26" t="n">
        <v>2</v>
      </c>
      <c r="G13" s="26" t="n">
        <v>3</v>
      </c>
      <c r="H13" s="26" t="n">
        <v>12</v>
      </c>
      <c r="I13" s="26" t="n">
        <v>10</v>
      </c>
      <c r="J13" s="8">
        <f>IF(COUNT(D13:G13)=0,"",3*E13+F13)</f>
        <v/>
      </c>
      <c r="K13" s="8">
        <f>IF(COUNT(H13:I13)=0,"",H13-I13)</f>
        <v/>
      </c>
      <c r="L13" s="19">
        <f>IF(N(D13)=0,"",(3*E13+F13)/(D13*3))</f>
        <v/>
      </c>
      <c r="M13" s="10">
        <f>IF(N(D13)=0,"",H13/D13)</f>
        <v/>
      </c>
      <c r="N13" s="10">
        <f>IF(N(D13)=0,"",I13/D13)</f>
        <v/>
      </c>
      <c r="O13" s="23" t="n">
        <v>0.5</v>
      </c>
      <c r="P13" s="23" t="n">
        <v>28.3</v>
      </c>
    </row>
    <row r="14" ht="15" customHeight="1" s="33">
      <c r="A14" s="8" t="n">
        <v>12</v>
      </c>
      <c r="B14" s="9" t="inlineStr">
        <is>
          <t>Escocia</t>
        </is>
      </c>
      <c r="C14" s="8" t="inlineStr">
        <is>
          <t>UEFA</t>
        </is>
      </c>
      <c r="D14" s="26" t="n">
        <v>8</v>
      </c>
      <c r="E14" s="26" t="n">
        <v>5</v>
      </c>
      <c r="F14" s="26" t="n">
        <v>2</v>
      </c>
      <c r="G14" s="26" t="n">
        <v>1</v>
      </c>
      <c r="H14" s="26" t="n">
        <v>12</v>
      </c>
      <c r="I14" s="26" t="n">
        <v>8</v>
      </c>
      <c r="J14" s="8">
        <f>IF(COUNT(D14:G14)=0,"",3*E14+F14)</f>
        <v/>
      </c>
      <c r="K14" s="8">
        <f>IF(COUNT(H14:I14)=0,"",H14-I14)</f>
        <v/>
      </c>
      <c r="L14" s="19">
        <f>IF(N(D14)=0,"",(3*E14+F14)/(D14*3))</f>
        <v/>
      </c>
      <c r="M14" s="10">
        <f>IF(N(D14)=0,"",H14/D14)</f>
        <v/>
      </c>
      <c r="N14" s="10">
        <f>IF(N(D14)=0,"",I14/D14)</f>
        <v/>
      </c>
      <c r="O14" s="23" t="n">
        <v>1</v>
      </c>
      <c r="P14" s="23" t="n">
        <v>70.8</v>
      </c>
    </row>
    <row r="15" ht="15" customHeight="1" s="33">
      <c r="A15" s="8" t="n">
        <v>13</v>
      </c>
      <c r="B15" s="9" t="inlineStr">
        <is>
          <t>Estados Unidos</t>
        </is>
      </c>
      <c r="C15" s="8" t="inlineStr">
        <is>
          <t>CONCACAF</t>
        </is>
      </c>
      <c r="D15" s="26" t="n"/>
      <c r="E15" s="26" t="n"/>
      <c r="F15" s="26" t="n"/>
      <c r="G15" s="26" t="n"/>
      <c r="H15" s="26" t="n"/>
      <c r="I15" s="26" t="n"/>
      <c r="J15" s="8">
        <f>IF(COUNT(D15:G15)=0,"",3*E15+F15)</f>
        <v/>
      </c>
      <c r="K15" s="8">
        <f>IF(COUNT(H15:I15)=0,"",H15-I15)</f>
        <v/>
      </c>
      <c r="L15" s="19">
        <f>IF(N(D15)=0,"",(3*E15+F15)/(D15*3))</f>
        <v/>
      </c>
      <c r="M15" s="10">
        <f>IF(N(D15)=0,"",H15/D15)</f>
        <v/>
      </c>
      <c r="N15" s="10">
        <f>IF(N(D15)=0,"",I15/D15)</f>
        <v/>
      </c>
      <c r="O15" s="23" t="n">
        <v>0.5</v>
      </c>
      <c r="P15" s="23" t="n">
        <v>35</v>
      </c>
    </row>
    <row r="16" ht="15" customHeight="1" s="33">
      <c r="A16" s="8" t="n">
        <v>14</v>
      </c>
      <c r="B16" s="9" t="inlineStr">
        <is>
          <t>Paraguay</t>
        </is>
      </c>
      <c r="C16" s="8" t="inlineStr">
        <is>
          <t>CONMEBOL</t>
        </is>
      </c>
      <c r="D16" s="26" t="n">
        <v>18</v>
      </c>
      <c r="E16" s="26" t="n">
        <v>7</v>
      </c>
      <c r="F16" s="26" t="n">
        <v>7</v>
      </c>
      <c r="G16" s="26" t="n">
        <v>4</v>
      </c>
      <c r="H16" s="26" t="n">
        <v>14</v>
      </c>
      <c r="I16" s="26" t="n">
        <v>10</v>
      </c>
      <c r="J16" s="8">
        <f>IF(COUNT(D16:G16)=0,"",3*E16+F16)</f>
        <v/>
      </c>
      <c r="K16" s="8">
        <f>IF(COUNT(H16:I16)=0,"",H16-I16)</f>
        <v/>
      </c>
      <c r="L16" s="19">
        <f>IF(N(D16)=0,"",(3*E16+F16)/(D16*3))</f>
        <v/>
      </c>
      <c r="M16" s="10">
        <f>IF(N(D16)=0,"",H16/D16)</f>
        <v/>
      </c>
      <c r="N16" s="10">
        <f>IF(N(D16)=0,"",I16/D16)</f>
        <v/>
      </c>
      <c r="O16" s="23" t="n">
        <v>0.95</v>
      </c>
      <c r="P16" s="23" t="n">
        <v>49.3</v>
      </c>
    </row>
    <row r="17" ht="15" customHeight="1" s="33">
      <c r="A17" s="8" t="n">
        <v>15</v>
      </c>
      <c r="B17" s="9" t="inlineStr">
        <is>
          <t>Australia</t>
        </is>
      </c>
      <c r="C17" s="8" t="inlineStr">
        <is>
          <t>AFC</t>
        </is>
      </c>
      <c r="D17" s="26" t="n">
        <v>10</v>
      </c>
      <c r="E17" s="26" t="n">
        <v>6</v>
      </c>
      <c r="F17" s="26" t="n">
        <v>3</v>
      </c>
      <c r="G17" s="26" t="n">
        <v>1</v>
      </c>
      <c r="H17" s="26" t="n">
        <v>16</v>
      </c>
      <c r="I17" s="26" t="n">
        <v>8</v>
      </c>
      <c r="J17" s="8">
        <f>IF(COUNT(D17:G17)=0,"",3*E17+F17)</f>
        <v/>
      </c>
      <c r="K17" s="8">
        <f>IF(COUNT(H17:I17)=0,"",H17-I17)</f>
        <v/>
      </c>
      <c r="L17" s="19">
        <f>IF(N(D17)=0,"",(3*E17+F17)/(D17*3))</f>
        <v/>
      </c>
      <c r="M17" s="10">
        <f>IF(N(D17)=0,"",H17/D17)</f>
        <v/>
      </c>
      <c r="N17" s="10">
        <f>IF(N(D17)=0,"",I17/D17)</f>
        <v/>
      </c>
      <c r="O17" s="23" t="n">
        <v>0.48</v>
      </c>
      <c r="P17" s="23" t="n">
        <v>33.6</v>
      </c>
    </row>
    <row r="18" ht="15" customHeight="1" s="33">
      <c r="A18" s="8" t="n">
        <v>16</v>
      </c>
      <c r="B18" s="9" t="inlineStr">
        <is>
          <t>Turquía</t>
        </is>
      </c>
      <c r="C18" s="8" t="inlineStr">
        <is>
          <t>UEFA</t>
        </is>
      </c>
      <c r="D18" s="26" t="n">
        <v>8</v>
      </c>
      <c r="E18" s="26" t="n">
        <v>5</v>
      </c>
      <c r="F18" s="26" t="n">
        <v>2</v>
      </c>
      <c r="G18" s="26" t="n">
        <v>1</v>
      </c>
      <c r="H18" s="26" t="n">
        <v>16</v>
      </c>
      <c r="I18" s="26" t="n">
        <v>9</v>
      </c>
      <c r="J18" s="8">
        <f>IF(COUNT(D18:G18)=0,"",3*E18+F18)</f>
        <v/>
      </c>
      <c r="K18" s="8">
        <f>IF(COUNT(H18:I18)=0,"",H18-I18)</f>
        <v/>
      </c>
      <c r="L18" s="19">
        <f>IF(N(D18)=0,"",(3*E18+F18)/(D18*3))</f>
        <v/>
      </c>
      <c r="M18" s="10">
        <f>IF(N(D18)=0,"",H18/D18)</f>
        <v/>
      </c>
      <c r="N18" s="10">
        <f>IF(N(D18)=0,"",I18/D18)</f>
        <v/>
      </c>
      <c r="O18" s="23" t="n">
        <v>1</v>
      </c>
      <c r="P18" s="23" t="n">
        <v>70.8</v>
      </c>
    </row>
    <row r="19" ht="15" customHeight="1" s="33">
      <c r="A19" s="8" t="n">
        <v>17</v>
      </c>
      <c r="B19" s="9" t="inlineStr">
        <is>
          <t>Alemania</t>
        </is>
      </c>
      <c r="C19" s="8" t="inlineStr">
        <is>
          <t>UEFA</t>
        </is>
      </c>
      <c r="D19" s="26" t="n">
        <v>8</v>
      </c>
      <c r="E19" s="26" t="n">
        <v>6</v>
      </c>
      <c r="F19" s="26" t="n">
        <v>1</v>
      </c>
      <c r="G19" s="26" t="n">
        <v>1</v>
      </c>
      <c r="H19" s="26" t="n">
        <v>18</v>
      </c>
      <c r="I19" s="26" t="n">
        <v>7</v>
      </c>
      <c r="J19" s="8">
        <f>IF(COUNT(D19:G19)=0,"",3*E19+F19)</f>
        <v/>
      </c>
      <c r="K19" s="8">
        <f>IF(COUNT(H19:I19)=0,"",H19-I19)</f>
        <v/>
      </c>
      <c r="L19" s="19">
        <f>IF(N(D19)=0,"",(3*E19+F19)/(D19*3))</f>
        <v/>
      </c>
      <c r="M19" s="10">
        <f>IF(N(D19)=0,"",H19/D19)</f>
        <v/>
      </c>
      <c r="N19" s="10">
        <f>IF(N(D19)=0,"",I19/D19)</f>
        <v/>
      </c>
      <c r="O19" s="23" t="n">
        <v>1</v>
      </c>
      <c r="P19" s="23" t="n">
        <v>79.2</v>
      </c>
    </row>
    <row r="20" ht="15" customHeight="1" s="33">
      <c r="A20" s="8" t="n">
        <v>18</v>
      </c>
      <c r="B20" s="9" t="inlineStr">
        <is>
          <t>Curazao</t>
        </is>
      </c>
      <c r="C20" s="8" t="inlineStr">
        <is>
          <t>CONCACAF</t>
        </is>
      </c>
      <c r="D20" s="26" t="n">
        <v>10</v>
      </c>
      <c r="E20" s="26" t="n">
        <v>4</v>
      </c>
      <c r="F20" s="26" t="n">
        <v>4</v>
      </c>
      <c r="G20" s="26" t="n">
        <v>2</v>
      </c>
      <c r="H20" s="26" t="n">
        <v>12</v>
      </c>
      <c r="I20" s="26" t="n">
        <v>9</v>
      </c>
      <c r="J20" s="8">
        <f>IF(COUNT(D20:G20)=0,"",3*E20+F20)</f>
        <v/>
      </c>
      <c r="K20" s="8">
        <f>IF(COUNT(H20:I20)=0,"",H20-I20)</f>
        <v/>
      </c>
      <c r="L20" s="19">
        <f>IF(N(D20)=0,"",(3*E20+F20)/(D20*3))</f>
        <v/>
      </c>
      <c r="M20" s="10">
        <f>IF(N(D20)=0,"",H20/D20)</f>
        <v/>
      </c>
      <c r="N20" s="10">
        <f>IF(N(D20)=0,"",I20/D20)</f>
        <v/>
      </c>
      <c r="O20" s="23" t="n">
        <v>0.5</v>
      </c>
      <c r="P20" s="23" t="n">
        <v>26.7</v>
      </c>
    </row>
    <row r="21" ht="15" customHeight="1" s="33">
      <c r="A21" s="8" t="n">
        <v>19</v>
      </c>
      <c r="B21" s="9" t="inlineStr">
        <is>
          <t>Costa de Marfil</t>
        </is>
      </c>
      <c r="C21" s="8" t="inlineStr">
        <is>
          <t>CAF</t>
        </is>
      </c>
      <c r="D21" s="26" t="n">
        <v>10</v>
      </c>
      <c r="E21" s="26" t="n">
        <v>6</v>
      </c>
      <c r="F21" s="26" t="n">
        <v>2</v>
      </c>
      <c r="G21" s="26" t="n">
        <v>2</v>
      </c>
      <c r="H21" s="26" t="n">
        <v>16</v>
      </c>
      <c r="I21" s="26" t="n">
        <v>8</v>
      </c>
      <c r="J21" s="8">
        <f>IF(COUNT(D21:G21)=0,"",3*E21+F21)</f>
        <v/>
      </c>
      <c r="K21" s="8">
        <f>IF(COUNT(H21:I21)=0,"",H21-I21)</f>
        <v/>
      </c>
      <c r="L21" s="19">
        <f>IF(N(D21)=0,"",(3*E21+F21)/(D21*3))</f>
        <v/>
      </c>
      <c r="M21" s="10">
        <f>IF(N(D21)=0,"",H21/D21)</f>
        <v/>
      </c>
      <c r="N21" s="10">
        <f>IF(N(D21)=0,"",I21/D21)</f>
        <v/>
      </c>
      <c r="O21" s="23" t="n">
        <v>0.52</v>
      </c>
      <c r="P21" s="23" t="n">
        <v>34.7</v>
      </c>
    </row>
    <row r="22" ht="15" customHeight="1" s="33">
      <c r="A22" s="8" t="n">
        <v>20</v>
      </c>
      <c r="B22" s="9" t="inlineStr">
        <is>
          <t>Ecuador</t>
        </is>
      </c>
      <c r="C22" s="8" t="inlineStr">
        <is>
          <t>CONMEBOL</t>
        </is>
      </c>
      <c r="D22" s="26" t="n">
        <v>18</v>
      </c>
      <c r="E22" s="26" t="n">
        <v>7</v>
      </c>
      <c r="F22" s="26" t="n">
        <v>4</v>
      </c>
      <c r="G22" s="26" t="n">
        <v>7</v>
      </c>
      <c r="H22" s="26" t="n">
        <v>18</v>
      </c>
      <c r="I22" s="26" t="n">
        <v>14</v>
      </c>
      <c r="J22" s="8">
        <f>IF(COUNT(D22:G22)=0,"",3*E22+F22)</f>
        <v/>
      </c>
      <c r="K22" s="8">
        <f>IF(COUNT(H22:I22)=0,"",H22-I22)</f>
        <v/>
      </c>
      <c r="L22" s="19">
        <f>IF(N(D22)=0,"",(3*E22+F22)/(D22*3))</f>
        <v/>
      </c>
      <c r="M22" s="10">
        <f>IF(N(D22)=0,"",H22/D22)</f>
        <v/>
      </c>
      <c r="N22" s="10">
        <f>IF(N(D22)=0,"",I22/D22)</f>
        <v/>
      </c>
      <c r="O22" s="23" t="n">
        <v>0.95</v>
      </c>
      <c r="P22" s="23" t="n">
        <v>44</v>
      </c>
    </row>
    <row r="23" ht="15" customHeight="1" s="33">
      <c r="A23" s="8" t="n">
        <v>21</v>
      </c>
      <c r="B23" s="9" t="inlineStr">
        <is>
          <t>Países Bajos</t>
        </is>
      </c>
      <c r="C23" s="8" t="inlineStr">
        <is>
          <t>UEFA</t>
        </is>
      </c>
      <c r="D23" s="26" t="n">
        <v>8</v>
      </c>
      <c r="E23" s="26" t="n">
        <v>6</v>
      </c>
      <c r="F23" s="26" t="n">
        <v>2</v>
      </c>
      <c r="G23" s="26" t="n">
        <v>0</v>
      </c>
      <c r="H23" s="26" t="n">
        <v>19</v>
      </c>
      <c r="I23" s="26" t="n">
        <v>8</v>
      </c>
      <c r="J23" s="8">
        <f>IF(COUNT(D23:G23)=0,"",3*E23+F23)</f>
        <v/>
      </c>
      <c r="K23" s="8">
        <f>IF(COUNT(H23:I23)=0,"",H23-I23)</f>
        <v/>
      </c>
      <c r="L23" s="19">
        <f>IF(N(D23)=0,"",(3*E23+F23)/(D23*3))</f>
        <v/>
      </c>
      <c r="M23" s="10">
        <f>IF(N(D23)=0,"",H23/D23)</f>
        <v/>
      </c>
      <c r="N23" s="10">
        <f>IF(N(D23)=0,"",I23/D23)</f>
        <v/>
      </c>
      <c r="O23" s="23" t="n">
        <v>1</v>
      </c>
      <c r="P23" s="23" t="n">
        <v>83.3</v>
      </c>
    </row>
    <row r="24" ht="15" customHeight="1" s="33">
      <c r="A24" s="8" t="n">
        <v>22</v>
      </c>
      <c r="B24" s="9" t="inlineStr">
        <is>
          <t>Japón</t>
        </is>
      </c>
      <c r="C24" s="8" t="inlineStr">
        <is>
          <t>AFC</t>
        </is>
      </c>
      <c r="D24" s="26" t="n">
        <v>10</v>
      </c>
      <c r="E24" s="26" t="n">
        <v>8</v>
      </c>
      <c r="F24" s="26" t="n">
        <v>2</v>
      </c>
      <c r="G24" s="26" t="n">
        <v>0</v>
      </c>
      <c r="H24" s="26" t="n">
        <v>26</v>
      </c>
      <c r="I24" s="26" t="n">
        <v>4</v>
      </c>
      <c r="J24" s="8">
        <f>IF(COUNT(D24:G24)=0,"",3*E24+F24)</f>
        <v/>
      </c>
      <c r="K24" s="8">
        <f>IF(COUNT(H24:I24)=0,"",H24-I24)</f>
        <v/>
      </c>
      <c r="L24" s="19">
        <f>IF(N(D24)=0,"",(3*E24+F24)/(D24*3))</f>
        <v/>
      </c>
      <c r="M24" s="10">
        <f>IF(N(D24)=0,"",H24/D24)</f>
        <v/>
      </c>
      <c r="N24" s="10">
        <f>IF(N(D24)=0,"",I24/D24)</f>
        <v/>
      </c>
      <c r="O24" s="23" t="n">
        <v>0.48</v>
      </c>
      <c r="P24" s="23" t="n">
        <v>41.6</v>
      </c>
    </row>
    <row r="25" ht="15" customHeight="1" s="33">
      <c r="A25" s="8" t="n">
        <v>23</v>
      </c>
      <c r="B25" s="9" t="inlineStr">
        <is>
          <t>Suecia</t>
        </is>
      </c>
      <c r="C25" s="8" t="inlineStr">
        <is>
          <t>UEFA</t>
        </is>
      </c>
      <c r="D25" s="26" t="n">
        <v>8</v>
      </c>
      <c r="E25" s="26" t="n">
        <v>4</v>
      </c>
      <c r="F25" s="26" t="n">
        <v>2</v>
      </c>
      <c r="G25" s="26" t="n">
        <v>2</v>
      </c>
      <c r="H25" s="26" t="n">
        <v>14</v>
      </c>
      <c r="I25" s="26" t="n">
        <v>10</v>
      </c>
      <c r="J25" s="8">
        <f>IF(COUNT(D25:G25)=0,"",3*E25+F25)</f>
        <v/>
      </c>
      <c r="K25" s="8">
        <f>IF(COUNT(H25:I25)=0,"",H25-I25)</f>
        <v/>
      </c>
      <c r="L25" s="19">
        <f>IF(N(D25)=0,"",(3*E25+F25)/(D25*3))</f>
        <v/>
      </c>
      <c r="M25" s="10">
        <f>IF(N(D25)=0,"",H25/D25)</f>
        <v/>
      </c>
      <c r="N25" s="10">
        <f>IF(N(D25)=0,"",I25/D25)</f>
        <v/>
      </c>
      <c r="O25" s="23" t="n">
        <v>1</v>
      </c>
      <c r="P25" s="23" t="n">
        <v>58.3</v>
      </c>
    </row>
    <row r="26" ht="15" customHeight="1" s="33">
      <c r="A26" s="8" t="n">
        <v>24</v>
      </c>
      <c r="B26" s="9" t="inlineStr">
        <is>
          <t>Túnez</t>
        </is>
      </c>
      <c r="C26" s="8" t="inlineStr">
        <is>
          <t>CAF</t>
        </is>
      </c>
      <c r="D26" s="26" t="n">
        <v>10</v>
      </c>
      <c r="E26" s="26" t="n">
        <v>6</v>
      </c>
      <c r="F26" s="26" t="n">
        <v>3</v>
      </c>
      <c r="G26" s="26" t="n">
        <v>1</v>
      </c>
      <c r="H26" s="26" t="n">
        <v>12</v>
      </c>
      <c r="I26" s="26" t="n">
        <v>2</v>
      </c>
      <c r="J26" s="8">
        <f>IF(COUNT(D26:G26)=0,"",3*E26+F26)</f>
        <v/>
      </c>
      <c r="K26" s="8">
        <f>IF(COUNT(H26:I26)=0,"",H26-I26)</f>
        <v/>
      </c>
      <c r="L26" s="19">
        <f>IF(N(D26)=0,"",(3*E26+F26)/(D26*3))</f>
        <v/>
      </c>
      <c r="M26" s="10">
        <f>IF(N(D26)=0,"",H26/D26)</f>
        <v/>
      </c>
      <c r="N26" s="10">
        <f>IF(N(D26)=0,"",I26/D26)</f>
        <v/>
      </c>
      <c r="O26" s="23" t="n">
        <v>0.52</v>
      </c>
      <c r="P26" s="23" t="n">
        <v>36.4</v>
      </c>
    </row>
    <row r="27" ht="15" customHeight="1" s="33">
      <c r="A27" s="8" t="n">
        <v>25</v>
      </c>
      <c r="B27" s="9" t="inlineStr">
        <is>
          <t>Bélgica</t>
        </is>
      </c>
      <c r="C27" s="8" t="inlineStr">
        <is>
          <t>UEFA</t>
        </is>
      </c>
      <c r="D27" s="26" t="n">
        <v>8</v>
      </c>
      <c r="E27" s="26" t="n">
        <v>5</v>
      </c>
      <c r="F27" s="26" t="n">
        <v>3</v>
      </c>
      <c r="G27" s="26" t="n">
        <v>0</v>
      </c>
      <c r="H27" s="26" t="n">
        <v>20</v>
      </c>
      <c r="I27" s="26" t="n">
        <v>9</v>
      </c>
      <c r="J27" s="8">
        <f>IF(COUNT(D27:G27)=0,"",3*E27+F27)</f>
        <v/>
      </c>
      <c r="K27" s="8">
        <f>IF(COUNT(H27:I27)=0,"",H27-I27)</f>
        <v/>
      </c>
      <c r="L27" s="19">
        <f>IF(N(D27)=0,"",(3*E27+F27)/(D27*3))</f>
        <v/>
      </c>
      <c r="M27" s="10">
        <f>IF(N(D27)=0,"",H27/D27)</f>
        <v/>
      </c>
      <c r="N27" s="10">
        <f>IF(N(D27)=0,"",I27/D27)</f>
        <v/>
      </c>
      <c r="O27" s="23" t="n">
        <v>1</v>
      </c>
      <c r="P27" s="23" t="n">
        <v>75</v>
      </c>
    </row>
    <row r="28" ht="15" customHeight="1" s="33">
      <c r="A28" s="8" t="n">
        <v>26</v>
      </c>
      <c r="B28" s="9" t="inlineStr">
        <is>
          <t>Egipto</t>
        </is>
      </c>
      <c r="C28" s="8" t="inlineStr">
        <is>
          <t>CAF</t>
        </is>
      </c>
      <c r="D28" s="26" t="n">
        <v>10</v>
      </c>
      <c r="E28" s="26" t="n">
        <v>7</v>
      </c>
      <c r="F28" s="26" t="n">
        <v>2</v>
      </c>
      <c r="G28" s="26" t="n">
        <v>1</v>
      </c>
      <c r="H28" s="26" t="n">
        <v>18</v>
      </c>
      <c r="I28" s="26" t="n">
        <v>5</v>
      </c>
      <c r="J28" s="8">
        <f>IF(COUNT(D28:G28)=0,"",3*E28+F28)</f>
        <v/>
      </c>
      <c r="K28" s="8">
        <f>IF(COUNT(H28:I28)=0,"",H28-I28)</f>
        <v/>
      </c>
      <c r="L28" s="19">
        <f>IF(N(D28)=0,"",(3*E28+F28)/(D28*3))</f>
        <v/>
      </c>
      <c r="M28" s="10">
        <f>IF(N(D28)=0,"",H28/D28)</f>
        <v/>
      </c>
      <c r="N28" s="10">
        <f>IF(N(D28)=0,"",I28/D28)</f>
        <v/>
      </c>
      <c r="O28" s="23" t="n">
        <v>0.52</v>
      </c>
      <c r="P28" s="23" t="n">
        <v>39.9</v>
      </c>
    </row>
    <row r="29" ht="15" customHeight="1" s="33">
      <c r="A29" s="8" t="n">
        <v>27</v>
      </c>
      <c r="B29" s="9" t="inlineStr">
        <is>
          <t>Irán</t>
        </is>
      </c>
      <c r="C29" s="8" t="inlineStr">
        <is>
          <t>AFC</t>
        </is>
      </c>
      <c r="D29" s="26" t="n">
        <v>10</v>
      </c>
      <c r="E29" s="26" t="n">
        <v>8</v>
      </c>
      <c r="F29" s="26" t="n">
        <v>2</v>
      </c>
      <c r="G29" s="26" t="n">
        <v>0</v>
      </c>
      <c r="H29" s="26" t="n">
        <v>18</v>
      </c>
      <c r="I29" s="26" t="n">
        <v>4</v>
      </c>
      <c r="J29" s="8">
        <f>IF(COUNT(D29:G29)=0,"",3*E29+F29)</f>
        <v/>
      </c>
      <c r="K29" s="8">
        <f>IF(COUNT(H29:I29)=0,"",H29-I29)</f>
        <v/>
      </c>
      <c r="L29" s="19">
        <f>IF(N(D29)=0,"",(3*E29+F29)/(D29*3))</f>
        <v/>
      </c>
      <c r="M29" s="10">
        <f>IF(N(D29)=0,"",H29/D29)</f>
        <v/>
      </c>
      <c r="N29" s="10">
        <f>IF(N(D29)=0,"",I29/D29)</f>
        <v/>
      </c>
      <c r="O29" s="23" t="n">
        <v>0.48</v>
      </c>
      <c r="P29" s="23" t="n">
        <v>41.6</v>
      </c>
    </row>
    <row r="30" ht="15" customHeight="1" s="33">
      <c r="A30" s="8" t="n">
        <v>28</v>
      </c>
      <c r="B30" s="9" t="inlineStr">
        <is>
          <t>Nueva Zelanda</t>
        </is>
      </c>
      <c r="C30" s="8" t="inlineStr">
        <is>
          <t>OFC</t>
        </is>
      </c>
      <c r="D30" s="26" t="n">
        <v>8</v>
      </c>
      <c r="E30" s="26" t="n">
        <v>7</v>
      </c>
      <c r="F30" s="26" t="n">
        <v>1</v>
      </c>
      <c r="G30" s="26" t="n">
        <v>0</v>
      </c>
      <c r="H30" s="26" t="n">
        <v>22</v>
      </c>
      <c r="I30" s="26" t="n">
        <v>3</v>
      </c>
      <c r="J30" s="8">
        <f>IF(COUNT(D30:G30)=0,"",3*E30+F30)</f>
        <v/>
      </c>
      <c r="K30" s="8">
        <f>IF(COUNT(H30:I30)=0,"",H30-I30)</f>
        <v/>
      </c>
      <c r="L30" s="19">
        <f>IF(N(D30)=0,"",(3*E30+F30)/(D30*3))</f>
        <v/>
      </c>
      <c r="M30" s="10">
        <f>IF(N(D30)=0,"",H30/D30)</f>
        <v/>
      </c>
      <c r="N30" s="10">
        <f>IF(N(D30)=0,"",I30/D30)</f>
        <v/>
      </c>
      <c r="O30" s="23" t="n">
        <v>0.2</v>
      </c>
      <c r="P30" s="23" t="n">
        <v>18.3</v>
      </c>
    </row>
    <row r="31" ht="15" customHeight="1" s="33">
      <c r="A31" s="8" t="n">
        <v>29</v>
      </c>
      <c r="B31" s="9" t="inlineStr">
        <is>
          <t>España</t>
        </is>
      </c>
      <c r="C31" s="8" t="inlineStr">
        <is>
          <t>UEFA</t>
        </is>
      </c>
      <c r="D31" s="26" t="n">
        <v>8</v>
      </c>
      <c r="E31" s="26" t="n">
        <v>7</v>
      </c>
      <c r="F31" s="26" t="n">
        <v>1</v>
      </c>
      <c r="G31" s="26" t="n">
        <v>0</v>
      </c>
      <c r="H31" s="26" t="n">
        <v>21</v>
      </c>
      <c r="I31" s="26" t="n">
        <v>4</v>
      </c>
      <c r="J31" s="8">
        <f>IF(COUNT(D31:G31)=0,"",3*E31+F31)</f>
        <v/>
      </c>
      <c r="K31" s="8">
        <f>IF(COUNT(H31:I31)=0,"",H31-I31)</f>
        <v/>
      </c>
      <c r="L31" s="19">
        <f>IF(N(D31)=0,"",(3*E31+F31)/(D31*3))</f>
        <v/>
      </c>
      <c r="M31" s="10">
        <f>IF(N(D31)=0,"",H31/D31)</f>
        <v/>
      </c>
      <c r="N31" s="10">
        <f>IF(N(D31)=0,"",I31/D31)</f>
        <v/>
      </c>
      <c r="O31" s="23" t="n">
        <v>1</v>
      </c>
      <c r="P31" s="23" t="n">
        <v>91.7</v>
      </c>
    </row>
    <row r="32" ht="15" customHeight="1" s="33">
      <c r="A32" s="8" t="n">
        <v>30</v>
      </c>
      <c r="B32" s="9" t="inlineStr">
        <is>
          <t>Cabo Verde</t>
        </is>
      </c>
      <c r="C32" s="8" t="inlineStr">
        <is>
          <t>CAF</t>
        </is>
      </c>
      <c r="D32" s="26" t="n">
        <v>10</v>
      </c>
      <c r="E32" s="26" t="n">
        <v>6</v>
      </c>
      <c r="F32" s="26" t="n">
        <v>1</v>
      </c>
      <c r="G32" s="26" t="n">
        <v>3</v>
      </c>
      <c r="H32" s="26" t="n">
        <v>13</v>
      </c>
      <c r="I32" s="26" t="n">
        <v>9</v>
      </c>
      <c r="J32" s="8">
        <f>IF(COUNT(D32:G32)=0,"",3*E32+F32)</f>
        <v/>
      </c>
      <c r="K32" s="8">
        <f>IF(COUNT(H32:I32)=0,"",H32-I32)</f>
        <v/>
      </c>
      <c r="L32" s="19">
        <f>IF(N(D32)=0,"",(3*E32+F32)/(D32*3))</f>
        <v/>
      </c>
      <c r="M32" s="10">
        <f>IF(N(D32)=0,"",H32/D32)</f>
        <v/>
      </c>
      <c r="N32" s="10">
        <f>IF(N(D32)=0,"",I32/D32)</f>
        <v/>
      </c>
      <c r="O32" s="23" t="n">
        <v>0.52</v>
      </c>
      <c r="P32" s="23" t="n">
        <v>32.9</v>
      </c>
    </row>
    <row r="33" ht="15" customHeight="1" s="33">
      <c r="A33" s="8" t="n">
        <v>31</v>
      </c>
      <c r="B33" s="9" t="inlineStr">
        <is>
          <t>Arabia Saudita</t>
        </is>
      </c>
      <c r="C33" s="8" t="inlineStr">
        <is>
          <t>AFC</t>
        </is>
      </c>
      <c r="D33" s="26" t="n">
        <v>12</v>
      </c>
      <c r="E33" s="26" t="n">
        <v>5</v>
      </c>
      <c r="F33" s="26" t="n">
        <v>4</v>
      </c>
      <c r="G33" s="26" t="n">
        <v>3</v>
      </c>
      <c r="H33" s="26" t="n">
        <v>12</v>
      </c>
      <c r="I33" s="26" t="n">
        <v>8</v>
      </c>
      <c r="J33" s="8">
        <f>IF(COUNT(D33:G33)=0,"",3*E33+F33)</f>
        <v/>
      </c>
      <c r="K33" s="8">
        <f>IF(COUNT(H33:I33)=0,"",H33-I33)</f>
        <v/>
      </c>
      <c r="L33" s="19">
        <f>IF(N(D33)=0,"",(3*E33+F33)/(D33*3))</f>
        <v/>
      </c>
      <c r="M33" s="10">
        <f>IF(N(D33)=0,"",H33/D33)</f>
        <v/>
      </c>
      <c r="N33" s="10">
        <f>IF(N(D33)=0,"",I33/D33)</f>
        <v/>
      </c>
      <c r="O33" s="23" t="n">
        <v>0.48</v>
      </c>
      <c r="P33" s="23" t="n">
        <v>25.3</v>
      </c>
    </row>
    <row r="34" ht="15" customHeight="1" s="33">
      <c r="A34" s="8" t="n">
        <v>32</v>
      </c>
      <c r="B34" s="9" t="inlineStr">
        <is>
          <t>Uruguay</t>
        </is>
      </c>
      <c r="C34" s="8" t="inlineStr">
        <is>
          <t>CONMEBOL</t>
        </is>
      </c>
      <c r="D34" s="26" t="n">
        <v>18</v>
      </c>
      <c r="E34" s="26" t="n">
        <v>8</v>
      </c>
      <c r="F34" s="26" t="n">
        <v>4</v>
      </c>
      <c r="G34" s="26" t="n">
        <v>6</v>
      </c>
      <c r="H34" s="26" t="n">
        <v>22</v>
      </c>
      <c r="I34" s="26" t="n">
        <v>16</v>
      </c>
      <c r="J34" s="8">
        <f>IF(COUNT(D34:G34)=0,"",3*E34+F34)</f>
        <v/>
      </c>
      <c r="K34" s="8">
        <f>IF(COUNT(H34:I34)=0,"",H34-I34)</f>
        <v/>
      </c>
      <c r="L34" s="19">
        <f>IF(N(D34)=0,"",(3*E34+F34)/(D34*3))</f>
        <v/>
      </c>
      <c r="M34" s="10">
        <f>IF(N(D34)=0,"",H34/D34)</f>
        <v/>
      </c>
      <c r="N34" s="10">
        <f>IF(N(D34)=0,"",I34/D34)</f>
        <v/>
      </c>
      <c r="O34" s="23" t="n">
        <v>0.95</v>
      </c>
      <c r="P34" s="23" t="n">
        <v>49.3</v>
      </c>
    </row>
    <row r="35" ht="15" customHeight="1" s="33">
      <c r="A35" s="8" t="n">
        <v>33</v>
      </c>
      <c r="B35" s="9" t="inlineStr">
        <is>
          <t>Francia</t>
        </is>
      </c>
      <c r="C35" s="8" t="inlineStr">
        <is>
          <t>UEFA</t>
        </is>
      </c>
      <c r="D35" s="26" t="n">
        <v>8</v>
      </c>
      <c r="E35" s="26" t="n">
        <v>7</v>
      </c>
      <c r="F35" s="26" t="n">
        <v>1</v>
      </c>
      <c r="G35" s="26" t="n">
        <v>0</v>
      </c>
      <c r="H35" s="26" t="n">
        <v>18</v>
      </c>
      <c r="I35" s="26" t="n">
        <v>5</v>
      </c>
      <c r="J35" s="8">
        <f>IF(COUNT(D35:G35)=0,"",3*E35+F35)</f>
        <v/>
      </c>
      <c r="K35" s="8">
        <f>IF(COUNT(H35:I35)=0,"",H35-I35)</f>
        <v/>
      </c>
      <c r="L35" s="19">
        <f>IF(N(D35)=0,"",(3*E35+F35)/(D35*3))</f>
        <v/>
      </c>
      <c r="M35" s="10">
        <f>IF(N(D35)=0,"",H35/D35)</f>
        <v/>
      </c>
      <c r="N35" s="10">
        <f>IF(N(D35)=0,"",I35/D35)</f>
        <v/>
      </c>
      <c r="O35" s="23" t="n">
        <v>1</v>
      </c>
      <c r="P35" s="23" t="n">
        <v>91.7</v>
      </c>
    </row>
    <row r="36" ht="15" customHeight="1" s="33">
      <c r="A36" s="8" t="n">
        <v>34</v>
      </c>
      <c r="B36" s="9" t="inlineStr">
        <is>
          <t>Senegal</t>
        </is>
      </c>
      <c r="C36" s="8" t="inlineStr">
        <is>
          <t>CAF</t>
        </is>
      </c>
      <c r="D36" s="26" t="n">
        <v>10</v>
      </c>
      <c r="E36" s="26" t="n">
        <v>6</v>
      </c>
      <c r="F36" s="26" t="n">
        <v>3</v>
      </c>
      <c r="G36" s="26" t="n">
        <v>1</v>
      </c>
      <c r="H36" s="26" t="n">
        <v>15</v>
      </c>
      <c r="I36" s="26" t="n">
        <v>6</v>
      </c>
      <c r="J36" s="8">
        <f>IF(COUNT(D36:G36)=0,"",3*E36+F36)</f>
        <v/>
      </c>
      <c r="K36" s="8">
        <f>IF(COUNT(H36:I36)=0,"",H36-I36)</f>
        <v/>
      </c>
      <c r="L36" s="19">
        <f>IF(N(D36)=0,"",(3*E36+F36)/(D36*3))</f>
        <v/>
      </c>
      <c r="M36" s="10">
        <f>IF(N(D36)=0,"",H36/D36)</f>
        <v/>
      </c>
      <c r="N36" s="10">
        <f>IF(N(D36)=0,"",I36/D36)</f>
        <v/>
      </c>
      <c r="O36" s="23" t="n">
        <v>0.52</v>
      </c>
      <c r="P36" s="23" t="n">
        <v>36.4</v>
      </c>
    </row>
    <row r="37" ht="15" customHeight="1" s="33">
      <c r="A37" s="8" t="n">
        <v>35</v>
      </c>
      <c r="B37" s="9" t="inlineStr">
        <is>
          <t>Irak</t>
        </is>
      </c>
      <c r="C37" s="8" t="inlineStr">
        <is>
          <t>AFC</t>
        </is>
      </c>
      <c r="D37" s="26" t="n">
        <v>12</v>
      </c>
      <c r="E37" s="26" t="n">
        <v>5</v>
      </c>
      <c r="F37" s="26" t="n">
        <v>4</v>
      </c>
      <c r="G37" s="26" t="n">
        <v>3</v>
      </c>
      <c r="H37" s="26" t="n">
        <v>14</v>
      </c>
      <c r="I37" s="26" t="n">
        <v>10</v>
      </c>
      <c r="J37" s="8">
        <f>IF(COUNT(D37:G37)=0,"",3*E37+F37)</f>
        <v/>
      </c>
      <c r="K37" s="8">
        <f>IF(COUNT(H37:I37)=0,"",H37-I37)</f>
        <v/>
      </c>
      <c r="L37" s="19">
        <f>IF(N(D37)=0,"",(3*E37+F37)/(D37*3))</f>
        <v/>
      </c>
      <c r="M37" s="10">
        <f>IF(N(D37)=0,"",H37/D37)</f>
        <v/>
      </c>
      <c r="N37" s="10">
        <f>IF(N(D37)=0,"",I37/D37)</f>
        <v/>
      </c>
      <c r="O37" s="23" t="n">
        <v>0.48</v>
      </c>
      <c r="P37" s="23" t="n">
        <v>25.3</v>
      </c>
    </row>
    <row r="38" ht="15" customHeight="1" s="33">
      <c r="A38" s="8" t="n">
        <v>36</v>
      </c>
      <c r="B38" s="9" t="inlineStr">
        <is>
          <t>Noruega</t>
        </is>
      </c>
      <c r="C38" s="8" t="inlineStr">
        <is>
          <t>UEFA</t>
        </is>
      </c>
      <c r="D38" s="26" t="n">
        <v>8</v>
      </c>
      <c r="E38" s="26" t="n">
        <v>7</v>
      </c>
      <c r="F38" s="26" t="n">
        <v>1</v>
      </c>
      <c r="G38" s="26" t="n">
        <v>0</v>
      </c>
      <c r="H38" s="26" t="n">
        <v>28</v>
      </c>
      <c r="I38" s="26" t="n">
        <v>5</v>
      </c>
      <c r="J38" s="8">
        <f>IF(COUNT(D38:G38)=0,"",3*E38+F38)</f>
        <v/>
      </c>
      <c r="K38" s="8">
        <f>IF(COUNT(H38:I38)=0,"",H38-I38)</f>
        <v/>
      </c>
      <c r="L38" s="19">
        <f>IF(N(D38)=0,"",(3*E38+F38)/(D38*3))</f>
        <v/>
      </c>
      <c r="M38" s="10">
        <f>IF(N(D38)=0,"",H38/D38)</f>
        <v/>
      </c>
      <c r="N38" s="10">
        <f>IF(N(D38)=0,"",I38/D38)</f>
        <v/>
      </c>
      <c r="O38" s="23" t="n">
        <v>1</v>
      </c>
      <c r="P38" s="23" t="n">
        <v>91.7</v>
      </c>
    </row>
    <row r="39" ht="15" customHeight="1" s="33">
      <c r="A39" s="8" t="n">
        <v>37</v>
      </c>
      <c r="B39" s="9" t="inlineStr">
        <is>
          <t>Argentina</t>
        </is>
      </c>
      <c r="C39" s="8" t="inlineStr">
        <is>
          <t>CONMEBOL</t>
        </is>
      </c>
      <c r="D39" s="26" t="n">
        <v>18</v>
      </c>
      <c r="E39" s="26" t="n">
        <v>12</v>
      </c>
      <c r="F39" s="26" t="n">
        <v>2</v>
      </c>
      <c r="G39" s="26" t="n">
        <v>4</v>
      </c>
      <c r="H39" s="26" t="n">
        <v>31</v>
      </c>
      <c r="I39" s="26" t="n">
        <v>14</v>
      </c>
      <c r="J39" s="8">
        <f>IF(COUNT(D39:G39)=0,"",3*E39+F39)</f>
        <v/>
      </c>
      <c r="K39" s="8">
        <f>IF(COUNT(H39:I39)=0,"",H39-I39)</f>
        <v/>
      </c>
      <c r="L39" s="19">
        <f>IF(N(D39)=0,"",(3*E39+F39)/(D39*3))</f>
        <v/>
      </c>
      <c r="M39" s="10">
        <f>IF(N(D39)=0,"",H39/D39)</f>
        <v/>
      </c>
      <c r="N39" s="10">
        <f>IF(N(D39)=0,"",I39/D39)</f>
        <v/>
      </c>
      <c r="O39" s="23" t="n">
        <v>0.95</v>
      </c>
      <c r="P39" s="23" t="n">
        <v>66.90000000000001</v>
      </c>
    </row>
    <row r="40" ht="15" customHeight="1" s="33">
      <c r="A40" s="8" t="n">
        <v>38</v>
      </c>
      <c r="B40" s="9" t="inlineStr">
        <is>
          <t>Argelia</t>
        </is>
      </c>
      <c r="C40" s="8" t="inlineStr">
        <is>
          <t>CAF</t>
        </is>
      </c>
      <c r="D40" s="26" t="n">
        <v>10</v>
      </c>
      <c r="E40" s="26" t="n">
        <v>7</v>
      </c>
      <c r="F40" s="26" t="n">
        <v>1</v>
      </c>
      <c r="G40" s="26" t="n">
        <v>2</v>
      </c>
      <c r="H40" s="26" t="n">
        <v>18</v>
      </c>
      <c r="I40" s="26" t="n">
        <v>8</v>
      </c>
      <c r="J40" s="8">
        <f>IF(COUNT(D40:G40)=0,"",3*E40+F40)</f>
        <v/>
      </c>
      <c r="K40" s="8">
        <f>IF(COUNT(H40:I40)=0,"",H40-I40)</f>
        <v/>
      </c>
      <c r="L40" s="19">
        <f>IF(N(D40)=0,"",(3*E40+F40)/(D40*3))</f>
        <v/>
      </c>
      <c r="M40" s="10">
        <f>IF(N(D40)=0,"",H40/D40)</f>
        <v/>
      </c>
      <c r="N40" s="10">
        <f>IF(N(D40)=0,"",I40/D40)</f>
        <v/>
      </c>
      <c r="O40" s="23" t="n">
        <v>0.52</v>
      </c>
      <c r="P40" s="23" t="n">
        <v>38.1</v>
      </c>
    </row>
    <row r="41" ht="15" customHeight="1" s="33">
      <c r="A41" s="8" t="n">
        <v>39</v>
      </c>
      <c r="B41" s="9" t="inlineStr">
        <is>
          <t>Austria</t>
        </is>
      </c>
      <c r="C41" s="8" t="inlineStr">
        <is>
          <t>UEFA</t>
        </is>
      </c>
      <c r="D41" s="26" t="n">
        <v>8</v>
      </c>
      <c r="E41" s="26" t="n">
        <v>7</v>
      </c>
      <c r="F41" s="26" t="n">
        <v>0</v>
      </c>
      <c r="G41" s="26" t="n">
        <v>1</v>
      </c>
      <c r="H41" s="26" t="n">
        <v>18</v>
      </c>
      <c r="I41" s="26" t="n">
        <v>6</v>
      </c>
      <c r="J41" s="8">
        <f>IF(COUNT(D41:G41)=0,"",3*E41+F41)</f>
        <v/>
      </c>
      <c r="K41" s="8">
        <f>IF(COUNT(H41:I41)=0,"",H41-I41)</f>
        <v/>
      </c>
      <c r="L41" s="19">
        <f>IF(N(D41)=0,"",(3*E41+F41)/(D41*3))</f>
        <v/>
      </c>
      <c r="M41" s="10">
        <f>IF(N(D41)=0,"",H41/D41)</f>
        <v/>
      </c>
      <c r="N41" s="10">
        <f>IF(N(D41)=0,"",I41/D41)</f>
        <v/>
      </c>
      <c r="O41" s="23" t="n">
        <v>1</v>
      </c>
      <c r="P41" s="23" t="n">
        <v>87.5</v>
      </c>
    </row>
    <row r="42" ht="15" customHeight="1" s="33">
      <c r="A42" s="8" t="n">
        <v>40</v>
      </c>
      <c r="B42" s="9" t="inlineStr">
        <is>
          <t>Jordania</t>
        </is>
      </c>
      <c r="C42" s="8" t="inlineStr">
        <is>
          <t>AFC</t>
        </is>
      </c>
      <c r="D42" s="26" t="n">
        <v>10</v>
      </c>
      <c r="E42" s="26" t="n">
        <v>6</v>
      </c>
      <c r="F42" s="26" t="n">
        <v>3</v>
      </c>
      <c r="G42" s="26" t="n">
        <v>1</v>
      </c>
      <c r="H42" s="26" t="n">
        <v>15</v>
      </c>
      <c r="I42" s="26" t="n">
        <v>7</v>
      </c>
      <c r="J42" s="8">
        <f>IF(COUNT(D42:G42)=0,"",3*E42+F42)</f>
        <v/>
      </c>
      <c r="K42" s="8">
        <f>IF(COUNT(H42:I42)=0,"",H42-I42)</f>
        <v/>
      </c>
      <c r="L42" s="19">
        <f>IF(N(D42)=0,"",(3*E42+F42)/(D42*3))</f>
        <v/>
      </c>
      <c r="M42" s="10">
        <f>IF(N(D42)=0,"",H42/D42)</f>
        <v/>
      </c>
      <c r="N42" s="10">
        <f>IF(N(D42)=0,"",I42/D42)</f>
        <v/>
      </c>
      <c r="O42" s="23" t="n">
        <v>0.48</v>
      </c>
      <c r="P42" s="23" t="n">
        <v>33.6</v>
      </c>
    </row>
    <row r="43" ht="15" customHeight="1" s="33">
      <c r="A43" s="8" t="n">
        <v>41</v>
      </c>
      <c r="B43" s="9" t="inlineStr">
        <is>
          <t>Portugal</t>
        </is>
      </c>
      <c r="C43" s="8" t="inlineStr">
        <is>
          <t>UEFA</t>
        </is>
      </c>
      <c r="D43" s="26" t="n">
        <v>8</v>
      </c>
      <c r="E43" s="26" t="n">
        <v>6</v>
      </c>
      <c r="F43" s="26" t="n">
        <v>2</v>
      </c>
      <c r="G43" s="26" t="n">
        <v>0</v>
      </c>
      <c r="H43" s="26" t="n">
        <v>20</v>
      </c>
      <c r="I43" s="26" t="n">
        <v>6</v>
      </c>
      <c r="J43" s="8">
        <f>IF(COUNT(D43:G43)=0,"",3*E43+F43)</f>
        <v/>
      </c>
      <c r="K43" s="8">
        <f>IF(COUNT(H43:I43)=0,"",H43-I43)</f>
        <v/>
      </c>
      <c r="L43" s="19">
        <f>IF(N(D43)=0,"",(3*E43+F43)/(D43*3))</f>
        <v/>
      </c>
      <c r="M43" s="10">
        <f>IF(N(D43)=0,"",H43/D43)</f>
        <v/>
      </c>
      <c r="N43" s="10">
        <f>IF(N(D43)=0,"",I43/D43)</f>
        <v/>
      </c>
      <c r="O43" s="23" t="n">
        <v>1</v>
      </c>
      <c r="P43" s="23" t="n">
        <v>83.3</v>
      </c>
    </row>
    <row r="44" ht="15" customHeight="1" s="33">
      <c r="A44" s="8" t="n">
        <v>42</v>
      </c>
      <c r="B44" s="9" t="inlineStr">
        <is>
          <t>RD Congo</t>
        </is>
      </c>
      <c r="C44" s="8" t="inlineStr">
        <is>
          <t>CAF</t>
        </is>
      </c>
      <c r="D44" s="26" t="n">
        <v>10</v>
      </c>
      <c r="E44" s="26" t="n">
        <v>5</v>
      </c>
      <c r="F44" s="26" t="n">
        <v>3</v>
      </c>
      <c r="G44" s="26" t="n">
        <v>2</v>
      </c>
      <c r="H44" s="26" t="n">
        <v>13</v>
      </c>
      <c r="I44" s="26" t="n">
        <v>9</v>
      </c>
      <c r="J44" s="8">
        <f>IF(COUNT(D44:G44)=0,"",3*E44+F44)</f>
        <v/>
      </c>
      <c r="K44" s="8">
        <f>IF(COUNT(H44:I44)=0,"",H44-I44)</f>
        <v/>
      </c>
      <c r="L44" s="19">
        <f>IF(N(D44)=0,"",(3*E44+F44)/(D44*3))</f>
        <v/>
      </c>
      <c r="M44" s="10">
        <f>IF(N(D44)=0,"",H44/D44)</f>
        <v/>
      </c>
      <c r="N44" s="10">
        <f>IF(N(D44)=0,"",I44/D44)</f>
        <v/>
      </c>
      <c r="O44" s="23" t="n">
        <v>0.52</v>
      </c>
      <c r="P44" s="23" t="n">
        <v>31.2</v>
      </c>
    </row>
    <row r="45" ht="15" customHeight="1" s="33">
      <c r="A45" s="8" t="n">
        <v>43</v>
      </c>
      <c r="B45" s="9" t="inlineStr">
        <is>
          <t>Uzbekistán</t>
        </is>
      </c>
      <c r="C45" s="8" t="inlineStr">
        <is>
          <t>AFC</t>
        </is>
      </c>
      <c r="D45" s="26" t="n">
        <v>10</v>
      </c>
      <c r="E45" s="26" t="n">
        <v>6</v>
      </c>
      <c r="F45" s="26" t="n">
        <v>3</v>
      </c>
      <c r="G45" s="26" t="n">
        <v>1</v>
      </c>
      <c r="H45" s="26" t="n">
        <v>14</v>
      </c>
      <c r="I45" s="26" t="n">
        <v>6</v>
      </c>
      <c r="J45" s="8">
        <f>IF(COUNT(D45:G45)=0,"",3*E45+F45)</f>
        <v/>
      </c>
      <c r="K45" s="8">
        <f>IF(COUNT(H45:I45)=0,"",H45-I45)</f>
        <v/>
      </c>
      <c r="L45" s="19">
        <f>IF(N(D45)=0,"",(3*E45+F45)/(D45*3))</f>
        <v/>
      </c>
      <c r="M45" s="10">
        <f>IF(N(D45)=0,"",H45/D45)</f>
        <v/>
      </c>
      <c r="N45" s="10">
        <f>IF(N(D45)=0,"",I45/D45)</f>
        <v/>
      </c>
      <c r="O45" s="23" t="n">
        <v>0.48</v>
      </c>
      <c r="P45" s="23" t="n">
        <v>33.6</v>
      </c>
    </row>
    <row r="46" ht="15" customHeight="1" s="33">
      <c r="A46" s="8" t="n">
        <v>44</v>
      </c>
      <c r="B46" s="9" t="inlineStr">
        <is>
          <t>Colombia</t>
        </is>
      </c>
      <c r="C46" s="8" t="inlineStr">
        <is>
          <t>CONMEBOL</t>
        </is>
      </c>
      <c r="D46" s="26" t="n">
        <v>18</v>
      </c>
      <c r="E46" s="26" t="n">
        <v>8</v>
      </c>
      <c r="F46" s="26" t="n">
        <v>4</v>
      </c>
      <c r="G46" s="26" t="n">
        <v>6</v>
      </c>
      <c r="H46" s="26" t="n">
        <v>22</v>
      </c>
      <c r="I46" s="26" t="n">
        <v>18</v>
      </c>
      <c r="J46" s="8">
        <f>IF(COUNT(D46:G46)=0,"",3*E46+F46)</f>
        <v/>
      </c>
      <c r="K46" s="8">
        <f>IF(COUNT(H46:I46)=0,"",H46-I46)</f>
        <v/>
      </c>
      <c r="L46" s="19">
        <f>IF(N(D46)=0,"",(3*E46+F46)/(D46*3))</f>
        <v/>
      </c>
      <c r="M46" s="10">
        <f>IF(N(D46)=0,"",H46/D46)</f>
        <v/>
      </c>
      <c r="N46" s="10">
        <f>IF(N(D46)=0,"",I46/D46)</f>
        <v/>
      </c>
      <c r="O46" s="23" t="n">
        <v>0.95</v>
      </c>
      <c r="P46" s="23" t="n">
        <v>49.3</v>
      </c>
    </row>
    <row r="47" ht="15" customHeight="1" s="33">
      <c r="A47" s="8" t="n">
        <v>45</v>
      </c>
      <c r="B47" s="9" t="inlineStr">
        <is>
          <t>Inglaterra</t>
        </is>
      </c>
      <c r="C47" s="8" t="inlineStr">
        <is>
          <t>UEFA</t>
        </is>
      </c>
      <c r="D47" s="26" t="n">
        <v>8</v>
      </c>
      <c r="E47" s="26" t="n">
        <v>8</v>
      </c>
      <c r="F47" s="26" t="n">
        <v>0</v>
      </c>
      <c r="G47" s="26" t="n">
        <v>0</v>
      </c>
      <c r="H47" s="26" t="n">
        <v>22</v>
      </c>
      <c r="I47" s="26" t="n">
        <v>3</v>
      </c>
      <c r="J47" s="8">
        <f>IF(COUNT(D47:G47)=0,"",3*E47+F47)</f>
        <v/>
      </c>
      <c r="K47" s="8">
        <f>IF(COUNT(H47:I47)=0,"",H47-I47)</f>
        <v/>
      </c>
      <c r="L47" s="19">
        <f>IF(N(D47)=0,"",(3*E47+F47)/(D47*3))</f>
        <v/>
      </c>
      <c r="M47" s="10">
        <f>IF(N(D47)=0,"",H47/D47)</f>
        <v/>
      </c>
      <c r="N47" s="10">
        <f>IF(N(D47)=0,"",I47/D47)</f>
        <v/>
      </c>
      <c r="O47" s="23" t="n">
        <v>1</v>
      </c>
      <c r="P47" s="23" t="n">
        <v>100</v>
      </c>
    </row>
    <row r="48" ht="15" customHeight="1" s="33">
      <c r="A48" s="8" t="n">
        <v>46</v>
      </c>
      <c r="B48" s="9" t="inlineStr">
        <is>
          <t>Croacia</t>
        </is>
      </c>
      <c r="C48" s="8" t="inlineStr">
        <is>
          <t>UEFA</t>
        </is>
      </c>
      <c r="D48" s="26" t="n">
        <v>8</v>
      </c>
      <c r="E48" s="26" t="n">
        <v>7</v>
      </c>
      <c r="F48" s="26" t="n">
        <v>1</v>
      </c>
      <c r="G48" s="26" t="n">
        <v>0</v>
      </c>
      <c r="H48" s="26" t="n">
        <v>20</v>
      </c>
      <c r="I48" s="26" t="n">
        <v>5</v>
      </c>
      <c r="J48" s="8">
        <f>IF(COUNT(D48:G48)=0,"",3*E48+F48)</f>
        <v/>
      </c>
      <c r="K48" s="8">
        <f>IF(COUNT(H48:I48)=0,"",H48-I48)</f>
        <v/>
      </c>
      <c r="L48" s="19">
        <f>IF(N(D48)=0,"",(3*E48+F48)/(D48*3))</f>
        <v/>
      </c>
      <c r="M48" s="10">
        <f>IF(N(D48)=0,"",H48/D48)</f>
        <v/>
      </c>
      <c r="N48" s="10">
        <f>IF(N(D48)=0,"",I48/D48)</f>
        <v/>
      </c>
      <c r="O48" s="23" t="n">
        <v>1</v>
      </c>
      <c r="P48" s="23" t="n">
        <v>91.7</v>
      </c>
    </row>
    <row r="49" ht="15" customHeight="1" s="33">
      <c r="A49" s="8" t="n">
        <v>47</v>
      </c>
      <c r="B49" s="9" t="inlineStr">
        <is>
          <t>Ghana</t>
        </is>
      </c>
      <c r="C49" s="8" t="inlineStr">
        <is>
          <t>CAF</t>
        </is>
      </c>
      <c r="D49" s="26" t="n">
        <v>10</v>
      </c>
      <c r="E49" s="26" t="n">
        <v>6</v>
      </c>
      <c r="F49" s="26" t="n">
        <v>1</v>
      </c>
      <c r="G49" s="26" t="n">
        <v>3</v>
      </c>
      <c r="H49" s="26" t="n">
        <v>18</v>
      </c>
      <c r="I49" s="26" t="n">
        <v>10</v>
      </c>
      <c r="J49" s="8">
        <f>IF(COUNT(D49:G49)=0,"",3*E49+F49)</f>
        <v/>
      </c>
      <c r="K49" s="8">
        <f>IF(COUNT(H49:I49)=0,"",H49-I49)</f>
        <v/>
      </c>
      <c r="L49" s="19">
        <f>IF(N(D49)=0,"",(3*E49+F49)/(D49*3))</f>
        <v/>
      </c>
      <c r="M49" s="10">
        <f>IF(N(D49)=0,"",H49/D49)</f>
        <v/>
      </c>
      <c r="N49" s="10">
        <f>IF(N(D49)=0,"",I49/D49)</f>
        <v/>
      </c>
      <c r="O49" s="23" t="n">
        <v>0.52</v>
      </c>
      <c r="P49" s="23" t="n">
        <v>32.9</v>
      </c>
    </row>
    <row r="50" ht="15" customHeight="1" s="33">
      <c r="A50" s="8" t="n">
        <v>48</v>
      </c>
      <c r="B50" s="9" t="inlineStr">
        <is>
          <t>Panamá</t>
        </is>
      </c>
      <c r="C50" s="8" t="inlineStr">
        <is>
          <t>CONCACAF</t>
        </is>
      </c>
      <c r="D50" s="26" t="n">
        <v>10</v>
      </c>
      <c r="E50" s="26" t="n">
        <v>5</v>
      </c>
      <c r="F50" s="26" t="n">
        <v>3</v>
      </c>
      <c r="G50" s="26" t="n">
        <v>2</v>
      </c>
      <c r="H50" s="26" t="n">
        <v>14</v>
      </c>
      <c r="I50" s="26" t="n">
        <v>9</v>
      </c>
      <c r="J50" s="8">
        <f>IF(COUNT(D50:G50)=0,"",3*E50+F50)</f>
        <v/>
      </c>
      <c r="K50" s="8">
        <f>IF(COUNT(H50:I50)=0,"",H50-I50)</f>
        <v/>
      </c>
      <c r="L50" s="19">
        <f>IF(N(D50)=0,"",(3*E50+F50)/(D50*3))</f>
        <v/>
      </c>
      <c r="M50" s="10">
        <f>IF(N(D50)=0,"",H50/D50)</f>
        <v/>
      </c>
      <c r="N50" s="10">
        <f>IF(N(D50)=0,"",I50/D50)</f>
        <v/>
      </c>
      <c r="O50" s="23" t="n">
        <v>0.5</v>
      </c>
      <c r="P50" s="23" t="n">
        <v>30</v>
      </c>
    </row>
    <row r="51" ht="15.75" customHeight="1" s="33"/>
    <row r="52" ht="15" customHeight="1" s="33">
      <c r="B52" s="32" t="inlineStr">
        <is>
          <t>Cargá PJ/PG/PE/PP/GF/GC (amarillo). Pts=3·PG+PE; %Pts=Pts/(PJ·3). Fuente sugerida: Wikipedia 2026 FIFA World Cup qualification (por confederación) / RSSSF.</t>
        </is>
      </c>
    </row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B52:N52"/>
    <mergeCell ref="A1:N1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/>
  <cols>
    <col width="5" customWidth="1" style="33" min="1" max="1"/>
    <col width="24" customWidth="1" style="33" min="2" max="2"/>
    <col width="7" customWidth="1" style="33" min="3" max="3"/>
    <col width="14" customWidth="1" style="33" min="4" max="4"/>
    <col width="15" customWidth="1" style="33" min="5" max="5"/>
    <col width="17" customWidth="1" style="33" min="6" max="6"/>
    <col width="16" customWidth="1" style="33" min="7" max="7"/>
    <col width="15" customWidth="1" style="33" min="8" max="8"/>
    <col width="16" customWidth="1" style="33" min="9" max="9"/>
    <col width="14" customWidth="1" style="33" min="10" max="10"/>
    <col width="8.7109375" customWidth="1" style="33" min="11" max="26"/>
  </cols>
  <sheetData>
    <row r="1" ht="24" customHeight="1" s="33">
      <c r="A1" s="34" t="inlineStr">
        <is>
          <t>Predictores de país / plantel  (plantilla — cargá tus datos)</t>
        </is>
      </c>
    </row>
    <row r="2" ht="23.25" customHeight="1" s="33">
      <c r="A2" s="25" t="inlineStr">
        <is>
          <t>N°</t>
        </is>
      </c>
      <c r="B2" s="25" t="inlineStr">
        <is>
          <t>País</t>
        </is>
      </c>
      <c r="C2" s="25" t="inlineStr">
        <is>
          <t>Cód.</t>
        </is>
      </c>
      <c r="D2" s="25" t="inlineStr">
        <is>
          <t>Población</t>
        </is>
      </c>
      <c r="E2" s="25" t="inlineStr">
        <is>
          <t>PIB (USD MM)</t>
        </is>
      </c>
      <c r="F2" s="25" t="inlineStr">
        <is>
          <t>PIB per cápita (USD)</t>
        </is>
      </c>
      <c r="G2" s="25" t="inlineStr">
        <is>
          <t>Valor plantel (€ MM)</t>
        </is>
      </c>
      <c r="H2" s="25" t="inlineStr">
        <is>
          <t>Edad prom. plantel</t>
        </is>
      </c>
      <c r="I2" s="25" t="inlineStr">
        <is>
          <t>Jug. en top-5 ligas</t>
        </is>
      </c>
      <c r="J2" s="25" t="inlineStr">
        <is>
          <t>Año de referencia</t>
        </is>
      </c>
    </row>
    <row r="3" ht="15" customHeight="1" s="33">
      <c r="A3" s="8" t="n">
        <v>1</v>
      </c>
      <c r="B3" s="9" t="inlineStr">
        <is>
          <t>México</t>
        </is>
      </c>
      <c r="C3" s="8" t="inlineStr">
        <is>
          <t>MEX</t>
        </is>
      </c>
      <c r="D3" s="26" t="n"/>
      <c r="E3" s="26" t="n"/>
      <c r="F3" s="26" t="n"/>
      <c r="G3" s="26" t="n">
        <v>191.85</v>
      </c>
      <c r="H3" s="26" t="n">
        <v>27.5</v>
      </c>
      <c r="I3" s="26" t="n">
        <v>6</v>
      </c>
      <c r="J3" s="26" t="n">
        <v>2026</v>
      </c>
    </row>
    <row r="4" ht="15" customHeight="1" s="33">
      <c r="A4" s="8" t="n">
        <v>2</v>
      </c>
      <c r="B4" s="9" t="inlineStr">
        <is>
          <t>Sudáfrica</t>
        </is>
      </c>
      <c r="C4" s="8" t="inlineStr">
        <is>
          <t>RSA</t>
        </is>
      </c>
      <c r="D4" s="26" t="n"/>
      <c r="E4" s="26" t="n"/>
      <c r="F4" s="26" t="n"/>
      <c r="G4" s="26" t="n">
        <v>49.25</v>
      </c>
      <c r="H4" s="26" t="n">
        <v>26.35</v>
      </c>
      <c r="I4" s="26" t="n">
        <v>4</v>
      </c>
      <c r="J4" s="26" t="n">
        <v>2026</v>
      </c>
    </row>
    <row r="5" ht="15" customHeight="1" s="33">
      <c r="A5" s="8" t="n">
        <v>3</v>
      </c>
      <c r="B5" s="9" t="inlineStr">
        <is>
          <t>Corea del Sur</t>
        </is>
      </c>
      <c r="C5" s="8" t="inlineStr">
        <is>
          <t>KOR</t>
        </is>
      </c>
      <c r="D5" s="26" t="n"/>
      <c r="E5" s="26" t="n"/>
      <c r="F5" s="26" t="n"/>
      <c r="G5" s="26" t="n">
        <v>139.05</v>
      </c>
      <c r="H5" s="26" t="n">
        <v>27.46</v>
      </c>
      <c r="I5" s="26" t="n">
        <v>8</v>
      </c>
      <c r="J5" s="26" t="n">
        <v>2026</v>
      </c>
    </row>
    <row r="6" ht="15" customHeight="1" s="33">
      <c r="A6" s="8" t="n">
        <v>4</v>
      </c>
      <c r="B6" s="9" t="inlineStr">
        <is>
          <t>Chequia</t>
        </is>
      </c>
      <c r="C6" s="8" t="inlineStr">
        <is>
          <t>CZE</t>
        </is>
      </c>
      <c r="D6" s="26" t="n"/>
      <c r="E6" s="26" t="n"/>
      <c r="F6" s="26" t="n"/>
      <c r="G6" s="26" t="n">
        <v>188.18</v>
      </c>
      <c r="H6" s="26" t="n">
        <v>27.23</v>
      </c>
      <c r="I6" s="26" t="n">
        <v>9</v>
      </c>
      <c r="J6" s="26" t="n">
        <v>2026</v>
      </c>
    </row>
    <row r="7" ht="15" customHeight="1" s="33">
      <c r="A7" s="8" t="n">
        <v>5</v>
      </c>
      <c r="B7" s="9" t="inlineStr">
        <is>
          <t>Canadá</t>
        </is>
      </c>
      <c r="C7" s="8" t="inlineStr">
        <is>
          <t>CAN</t>
        </is>
      </c>
      <c r="D7" s="26" t="n"/>
      <c r="E7" s="26" t="n"/>
      <c r="F7" s="26" t="n"/>
      <c r="G7" s="26" t="n">
        <v>198.65</v>
      </c>
      <c r="H7" s="26" t="n">
        <v>26.42</v>
      </c>
      <c r="I7" s="26" t="n">
        <v>12</v>
      </c>
      <c r="J7" s="26" t="n">
        <v>2026</v>
      </c>
    </row>
    <row r="8" ht="15" customHeight="1" s="33">
      <c r="A8" s="8" t="n">
        <v>6</v>
      </c>
      <c r="B8" s="9" t="inlineStr">
        <is>
          <t>Bosnia y Herzegovina</t>
        </is>
      </c>
      <c r="C8" s="8" t="inlineStr">
        <is>
          <t>BIH</t>
        </is>
      </c>
      <c r="D8" s="26" t="n"/>
      <c r="E8" s="26" t="n"/>
      <c r="F8" s="26" t="n"/>
      <c r="G8" s="26" t="n">
        <v>146.4</v>
      </c>
      <c r="H8" s="26" t="n">
        <v>25.92</v>
      </c>
      <c r="I8" s="26" t="n">
        <v>13</v>
      </c>
      <c r="J8" s="26" t="n">
        <v>2026</v>
      </c>
    </row>
    <row r="9" ht="15" customHeight="1" s="33">
      <c r="A9" s="8" t="n">
        <v>7</v>
      </c>
      <c r="B9" s="9" t="inlineStr">
        <is>
          <t>Catar</t>
        </is>
      </c>
      <c r="C9" s="8" t="inlineStr">
        <is>
          <t>QAT</t>
        </is>
      </c>
      <c r="D9" s="26" t="n"/>
      <c r="E9" s="26" t="n"/>
      <c r="F9" s="26" t="n"/>
      <c r="G9" s="26" t="n">
        <v>19.93</v>
      </c>
      <c r="H9" s="26" t="n">
        <v>28.92</v>
      </c>
      <c r="I9" s="26" t="n">
        <v>0</v>
      </c>
      <c r="J9" s="26" t="n">
        <v>2026</v>
      </c>
    </row>
    <row r="10" ht="15" customHeight="1" s="33">
      <c r="A10" s="8" t="n">
        <v>8</v>
      </c>
      <c r="B10" s="9" t="inlineStr">
        <is>
          <t>Suiza</t>
        </is>
      </c>
      <c r="C10" s="8" t="inlineStr">
        <is>
          <t>SUI</t>
        </is>
      </c>
      <c r="D10" s="26" t="n"/>
      <c r="E10" s="26" t="n"/>
      <c r="F10" s="26" t="n"/>
      <c r="G10" s="26" t="n">
        <v>332.5</v>
      </c>
      <c r="H10" s="26" t="n">
        <v>27.81</v>
      </c>
      <c r="I10" s="26" t="n">
        <v>17</v>
      </c>
      <c r="J10" s="26" t="n">
        <v>2026</v>
      </c>
    </row>
    <row r="11" ht="15" customHeight="1" s="33">
      <c r="A11" s="8" t="n">
        <v>9</v>
      </c>
      <c r="B11" s="9" t="inlineStr">
        <is>
          <t>Brasil</t>
        </is>
      </c>
      <c r="C11" s="8" t="inlineStr">
        <is>
          <t>BRA</t>
        </is>
      </c>
      <c r="D11" s="26" t="n"/>
      <c r="E11" s="26" t="n"/>
      <c r="F11" s="26" t="n"/>
      <c r="G11" s="26" t="n">
        <v>928.2</v>
      </c>
      <c r="H11" s="26" t="n">
        <v>28.65</v>
      </c>
      <c r="I11" s="26" t="n">
        <v>21</v>
      </c>
      <c r="J11" s="26" t="n">
        <v>2026</v>
      </c>
    </row>
    <row r="12" ht="15" customHeight="1" s="33">
      <c r="A12" s="8" t="n">
        <v>10</v>
      </c>
      <c r="B12" s="9" t="inlineStr">
        <is>
          <t>Marruecos</t>
        </is>
      </c>
      <c r="C12" s="8" t="inlineStr">
        <is>
          <t>MAR</t>
        </is>
      </c>
      <c r="D12" s="26" t="n"/>
      <c r="E12" s="26" t="n"/>
      <c r="F12" s="26" t="n"/>
      <c r="G12" s="26" t="n">
        <v>447.7</v>
      </c>
      <c r="H12" s="26" t="n">
        <v>25.92</v>
      </c>
      <c r="I12" s="26" t="n">
        <v>19</v>
      </c>
      <c r="J12" s="26" t="n">
        <v>2026</v>
      </c>
    </row>
    <row r="13" ht="15" customHeight="1" s="33">
      <c r="A13" s="8" t="n">
        <v>11</v>
      </c>
      <c r="B13" s="9" t="inlineStr">
        <is>
          <t>Haití</t>
        </is>
      </c>
      <c r="C13" s="8" t="inlineStr">
        <is>
          <t>HAI</t>
        </is>
      </c>
      <c r="D13" s="26" t="n"/>
      <c r="E13" s="26" t="n"/>
      <c r="F13" s="26" t="n"/>
      <c r="G13" s="26" t="n">
        <v>55.9</v>
      </c>
      <c r="H13" s="26" t="n">
        <v>27.08</v>
      </c>
      <c r="I13" s="26" t="n">
        <v>6</v>
      </c>
      <c r="J13" s="26" t="n">
        <v>2026</v>
      </c>
    </row>
    <row r="14" ht="15" customHeight="1" s="33">
      <c r="A14" s="8" t="n">
        <v>12</v>
      </c>
      <c r="B14" s="9" t="inlineStr">
        <is>
          <t>Escocia</t>
        </is>
      </c>
      <c r="C14" s="8" t="inlineStr">
        <is>
          <t>SCO</t>
        </is>
      </c>
      <c r="D14" s="26" t="n"/>
      <c r="E14" s="26" t="n"/>
      <c r="F14" s="26" t="n"/>
      <c r="G14" s="26" t="n">
        <v>170.25</v>
      </c>
      <c r="H14" s="26" t="n">
        <v>28.73</v>
      </c>
      <c r="I14" s="26" t="n">
        <v>13</v>
      </c>
      <c r="J14" s="26" t="n">
        <v>2026</v>
      </c>
    </row>
    <row r="15" ht="15" customHeight="1" s="33">
      <c r="A15" s="8" t="n">
        <v>13</v>
      </c>
      <c r="B15" s="9" t="inlineStr">
        <is>
          <t>Estados Unidos</t>
        </is>
      </c>
      <c r="C15" s="8" t="inlineStr">
        <is>
          <t>USA</t>
        </is>
      </c>
      <c r="D15" s="26" t="n"/>
      <c r="E15" s="26" t="n"/>
      <c r="F15" s="26" t="n"/>
      <c r="G15" s="26" t="n">
        <v>385.6</v>
      </c>
      <c r="H15" s="26" t="n">
        <v>26.42</v>
      </c>
      <c r="I15" s="26" t="n">
        <v>12</v>
      </c>
      <c r="J15" s="26" t="n">
        <v>2026</v>
      </c>
    </row>
    <row r="16" ht="15" customHeight="1" s="33">
      <c r="A16" s="8" t="n">
        <v>14</v>
      </c>
      <c r="B16" s="9" t="inlineStr">
        <is>
          <t>Paraguay</t>
        </is>
      </c>
      <c r="C16" s="8" t="inlineStr">
        <is>
          <t>PAR</t>
        </is>
      </c>
      <c r="D16" s="26" t="n"/>
      <c r="E16" s="26" t="n"/>
      <c r="F16" s="26" t="n"/>
      <c r="G16" s="26" t="n">
        <v>153.65</v>
      </c>
      <c r="H16" s="26" t="n">
        <v>28.54</v>
      </c>
      <c r="I16" s="26" t="n">
        <v>8</v>
      </c>
      <c r="J16" s="26" t="n">
        <v>2026</v>
      </c>
    </row>
    <row r="17" ht="15" customHeight="1" s="33">
      <c r="A17" s="8" t="n">
        <v>15</v>
      </c>
      <c r="B17" s="9" t="inlineStr">
        <is>
          <t>Australia</t>
        </is>
      </c>
      <c r="C17" s="8" t="inlineStr">
        <is>
          <t>AUS</t>
        </is>
      </c>
      <c r="D17" s="26" t="n"/>
      <c r="E17" s="26" t="n"/>
      <c r="F17" s="26" t="n"/>
      <c r="G17" s="26" t="n">
        <v>77.45</v>
      </c>
      <c r="H17" s="26" t="n">
        <v>26.88</v>
      </c>
      <c r="I17" s="26" t="n">
        <v>6</v>
      </c>
      <c r="J17" s="26" t="n">
        <v>2026</v>
      </c>
    </row>
    <row r="18" ht="15" customHeight="1" s="33">
      <c r="A18" s="8" t="n">
        <v>16</v>
      </c>
      <c r="B18" s="9" t="inlineStr">
        <is>
          <t>Turquía</t>
        </is>
      </c>
      <c r="C18" s="8" t="inlineStr">
        <is>
          <t>TUR</t>
        </is>
      </c>
      <c r="D18" s="26" t="n"/>
      <c r="E18" s="26" t="n"/>
      <c r="F18" s="26" t="n"/>
      <c r="G18" s="26" t="n">
        <v>473.7</v>
      </c>
      <c r="H18" s="26" t="n">
        <v>27.23</v>
      </c>
      <c r="I18" s="26" t="n">
        <v>12</v>
      </c>
      <c r="J18" s="26" t="n">
        <v>2026</v>
      </c>
    </row>
    <row r="19" ht="15" customHeight="1" s="33">
      <c r="A19" s="8" t="n">
        <v>17</v>
      </c>
      <c r="B19" s="9" t="inlineStr">
        <is>
          <t>Alemania</t>
        </is>
      </c>
      <c r="C19" s="8" t="inlineStr">
        <is>
          <t>GER</t>
        </is>
      </c>
      <c r="D19" s="26" t="n"/>
      <c r="E19" s="26" t="n"/>
      <c r="F19" s="26" t="n"/>
      <c r="G19" s="26" t="n">
        <v>947</v>
      </c>
      <c r="H19" s="26" t="n">
        <v>27.54</v>
      </c>
      <c r="I19" s="26" t="n">
        <v>24</v>
      </c>
      <c r="J19" s="26" t="n">
        <v>2026</v>
      </c>
    </row>
    <row r="20" ht="15" customHeight="1" s="33">
      <c r="A20" s="8" t="n">
        <v>18</v>
      </c>
      <c r="B20" s="9" t="inlineStr">
        <is>
          <t>Curazao</t>
        </is>
      </c>
      <c r="C20" s="8" t="inlineStr">
        <is>
          <t>CUW</t>
        </is>
      </c>
      <c r="D20" s="26" t="n"/>
      <c r="E20" s="26" t="n"/>
      <c r="F20" s="26" t="n"/>
      <c r="G20" s="26" t="n">
        <v>25.78</v>
      </c>
      <c r="H20" s="26" t="n">
        <v>27.54</v>
      </c>
      <c r="I20" s="26" t="n">
        <v>7</v>
      </c>
      <c r="J20" s="26" t="n">
        <v>2026</v>
      </c>
    </row>
    <row r="21" ht="15" customHeight="1" s="33">
      <c r="A21" s="8" t="n">
        <v>19</v>
      </c>
      <c r="B21" s="9" t="inlineStr">
        <is>
          <t>Costa de Marfil</t>
        </is>
      </c>
      <c r="C21" s="8" t="inlineStr">
        <is>
          <t>CIV</t>
        </is>
      </c>
      <c r="D21" s="26" t="n"/>
      <c r="E21" s="26" t="n"/>
      <c r="F21" s="26" t="n"/>
      <c r="G21" s="26" t="n">
        <v>522.1</v>
      </c>
      <c r="H21" s="26" t="n">
        <v>25.35</v>
      </c>
      <c r="I21" s="26" t="n">
        <v>17</v>
      </c>
      <c r="J21" s="26" t="n">
        <v>2026</v>
      </c>
    </row>
    <row r="22" ht="15" customHeight="1" s="33">
      <c r="A22" s="8" t="n">
        <v>20</v>
      </c>
      <c r="B22" s="9" t="inlineStr">
        <is>
          <t>Ecuador</t>
        </is>
      </c>
      <c r="C22" s="8" t="inlineStr">
        <is>
          <t>ECU</t>
        </is>
      </c>
      <c r="D22" s="26" t="n"/>
      <c r="E22" s="26" t="n"/>
      <c r="F22" s="26" t="n"/>
      <c r="G22" s="26" t="n">
        <v>368.7</v>
      </c>
      <c r="H22" s="26" t="n">
        <v>25.58</v>
      </c>
      <c r="I22" s="26" t="n">
        <v>12</v>
      </c>
      <c r="J22" s="26" t="n">
        <v>2026</v>
      </c>
    </row>
    <row r="23" ht="15" customHeight="1" s="33">
      <c r="A23" s="8" t="n">
        <v>21</v>
      </c>
      <c r="B23" s="9" t="inlineStr">
        <is>
          <t>Países Bajos</t>
        </is>
      </c>
      <c r="C23" s="8" t="inlineStr">
        <is>
          <t>NED</t>
        </is>
      </c>
      <c r="D23" s="26" t="n"/>
      <c r="E23" s="26" t="n"/>
      <c r="F23" s="26" t="n"/>
      <c r="G23" s="26" t="n">
        <v>754.2</v>
      </c>
      <c r="H23" s="26" t="n">
        <v>27.27</v>
      </c>
      <c r="I23" s="26" t="n">
        <v>22</v>
      </c>
      <c r="J23" s="26" t="n">
        <v>2026</v>
      </c>
    </row>
    <row r="24" ht="15" customHeight="1" s="33">
      <c r="A24" s="8" t="n">
        <v>22</v>
      </c>
      <c r="B24" s="9" t="inlineStr">
        <is>
          <t>Japón</t>
        </is>
      </c>
      <c r="C24" s="8" t="inlineStr">
        <is>
          <t>JPN</t>
        </is>
      </c>
      <c r="D24" s="26" t="n"/>
      <c r="E24" s="26" t="n"/>
      <c r="F24" s="26" t="n"/>
      <c r="G24" s="26" t="n">
        <v>270.85</v>
      </c>
      <c r="H24" s="26" t="n">
        <v>27.19</v>
      </c>
      <c r="I24" s="26" t="n">
        <v>13</v>
      </c>
      <c r="J24" s="26" t="n">
        <v>2026</v>
      </c>
    </row>
    <row r="25" ht="15" customHeight="1" s="33">
      <c r="A25" s="8" t="n">
        <v>23</v>
      </c>
      <c r="B25" s="9" t="inlineStr">
        <is>
          <t>Suecia</t>
        </is>
      </c>
      <c r="C25" s="8" t="inlineStr">
        <is>
          <t>SWE</t>
        </is>
      </c>
      <c r="D25" s="26" t="n"/>
      <c r="E25" s="26" t="n"/>
      <c r="F25" s="26" t="n"/>
      <c r="G25" s="26" t="n">
        <v>406.08</v>
      </c>
      <c r="H25" s="26" t="n">
        <v>27</v>
      </c>
      <c r="I25" s="26" t="n">
        <v>13</v>
      </c>
      <c r="J25" s="26" t="n">
        <v>2026</v>
      </c>
    </row>
    <row r="26" ht="15" customHeight="1" s="33">
      <c r="A26" s="8" t="n">
        <v>24</v>
      </c>
      <c r="B26" s="9" t="inlineStr">
        <is>
          <t>Túnez</t>
        </is>
      </c>
      <c r="C26" s="8" t="inlineStr">
        <is>
          <t>TUN</t>
        </is>
      </c>
      <c r="D26" s="26" t="n"/>
      <c r="E26" s="26" t="n"/>
      <c r="F26" s="26" t="n"/>
      <c r="G26" s="26" t="n">
        <v>69.95</v>
      </c>
      <c r="H26" s="26" t="n">
        <v>26.15</v>
      </c>
      <c r="I26" s="26" t="n">
        <v>9</v>
      </c>
      <c r="J26" s="26" t="n">
        <v>2026</v>
      </c>
    </row>
    <row r="27" ht="15" customHeight="1" s="33">
      <c r="A27" s="8" t="n">
        <v>25</v>
      </c>
      <c r="B27" s="9" t="inlineStr">
        <is>
          <t>Bélgica</t>
        </is>
      </c>
      <c r="C27" s="8" t="inlineStr">
        <is>
          <t>BEL</t>
        </is>
      </c>
      <c r="D27" s="26" t="n"/>
      <c r="E27" s="26" t="n"/>
      <c r="F27" s="26" t="n"/>
      <c r="G27" s="26" t="n">
        <v>547.5</v>
      </c>
      <c r="H27" s="26" t="n">
        <v>27.12</v>
      </c>
      <c r="I27" s="26" t="n">
        <v>20</v>
      </c>
      <c r="J27" s="26" t="n">
        <v>2026</v>
      </c>
    </row>
    <row r="28" ht="15" customHeight="1" s="33">
      <c r="A28" s="8" t="n">
        <v>26</v>
      </c>
      <c r="B28" s="9" t="inlineStr">
        <is>
          <t>Egipto</t>
        </is>
      </c>
      <c r="C28" s="8" t="inlineStr">
        <is>
          <t>EGY</t>
        </is>
      </c>
      <c r="D28" s="26" t="n"/>
      <c r="E28" s="26" t="n"/>
      <c r="F28" s="26" t="n"/>
      <c r="G28" s="26" t="n">
        <v>116.48</v>
      </c>
      <c r="H28" s="26" t="n">
        <v>28.69</v>
      </c>
      <c r="I28" s="26" t="n">
        <v>6</v>
      </c>
      <c r="J28" s="26" t="n">
        <v>2026</v>
      </c>
    </row>
    <row r="29" ht="15" customHeight="1" s="33">
      <c r="A29" s="8" t="n">
        <v>27</v>
      </c>
      <c r="B29" s="9" t="inlineStr">
        <is>
          <t>Irán</t>
        </is>
      </c>
      <c r="C29" s="8" t="inlineStr">
        <is>
          <t>IRN</t>
        </is>
      </c>
      <c r="D29" s="26" t="n"/>
      <c r="E29" s="26" t="n"/>
      <c r="F29" s="26" t="n"/>
      <c r="G29" s="26" t="n">
        <v>32.05</v>
      </c>
      <c r="H29" s="26" t="n">
        <v>29.81</v>
      </c>
      <c r="I29" s="26" t="n">
        <v>5</v>
      </c>
      <c r="J29" s="26" t="n">
        <v>2026</v>
      </c>
    </row>
    <row r="30" ht="15" customHeight="1" s="33">
      <c r="A30" s="8" t="n">
        <v>28</v>
      </c>
      <c r="B30" s="9" t="inlineStr">
        <is>
          <t>Nueva Zelanda</t>
        </is>
      </c>
      <c r="C30" s="8" t="inlineStr">
        <is>
          <t>NZL</t>
        </is>
      </c>
      <c r="D30" s="26" t="n"/>
      <c r="E30" s="26" t="n"/>
      <c r="F30" s="26" t="n"/>
      <c r="G30" s="26" t="n">
        <v>34.45</v>
      </c>
      <c r="H30" s="26" t="n">
        <v>27.62</v>
      </c>
      <c r="I30" s="26" t="n">
        <v>4</v>
      </c>
      <c r="J30" s="26" t="n">
        <v>2026</v>
      </c>
    </row>
    <row r="31" ht="15" customHeight="1" s="33">
      <c r="A31" s="8" t="n">
        <v>29</v>
      </c>
      <c r="B31" s="9" t="inlineStr">
        <is>
          <t>España</t>
        </is>
      </c>
      <c r="C31" s="8" t="inlineStr">
        <is>
          <t>ESP</t>
        </is>
      </c>
      <c r="D31" s="26" t="n"/>
      <c r="E31" s="26" t="n"/>
      <c r="F31" s="26" t="n"/>
      <c r="G31" s="26" t="n">
        <v>1220</v>
      </c>
      <c r="H31" s="26" t="n">
        <v>26.19</v>
      </c>
      <c r="I31" s="26" t="n">
        <v>24</v>
      </c>
      <c r="J31" s="26" t="n">
        <v>2026</v>
      </c>
    </row>
    <row r="32" ht="15" customHeight="1" s="33">
      <c r="A32" s="8" t="n">
        <v>30</v>
      </c>
      <c r="B32" s="9" t="inlineStr">
        <is>
          <t>Cabo Verde</t>
        </is>
      </c>
      <c r="C32" s="8" t="inlineStr">
        <is>
          <t>CPV</t>
        </is>
      </c>
      <c r="D32" s="26" t="n"/>
      <c r="E32" s="26" t="n"/>
      <c r="F32" s="26" t="n"/>
      <c r="G32" s="26" t="n">
        <v>49.25</v>
      </c>
      <c r="H32" s="26" t="n">
        <v>29.23</v>
      </c>
      <c r="I32" s="26" t="n">
        <v>8</v>
      </c>
      <c r="J32" s="26" t="n">
        <v>2026</v>
      </c>
    </row>
    <row r="33" ht="15" customHeight="1" s="33">
      <c r="A33" s="8" t="n">
        <v>31</v>
      </c>
      <c r="B33" s="9" t="inlineStr">
        <is>
          <t>Arabia Saudita</t>
        </is>
      </c>
      <c r="C33" s="8" t="inlineStr">
        <is>
          <t>KSA</t>
        </is>
      </c>
      <c r="D33" s="26" t="n"/>
      <c r="E33" s="26" t="n"/>
      <c r="F33" s="26" t="n"/>
      <c r="G33" s="26" t="n">
        <v>40.68</v>
      </c>
      <c r="H33" s="26" t="n">
        <v>27.96</v>
      </c>
      <c r="I33" s="26" t="n">
        <v>0</v>
      </c>
      <c r="J33" s="26" t="n">
        <v>2026</v>
      </c>
    </row>
    <row r="34" ht="15" customHeight="1" s="33">
      <c r="A34" s="8" t="n">
        <v>32</v>
      </c>
      <c r="B34" s="9" t="inlineStr">
        <is>
          <t>Uruguay</t>
        </is>
      </c>
      <c r="C34" s="8" t="inlineStr">
        <is>
          <t>URU</t>
        </is>
      </c>
      <c r="D34" s="26" t="n"/>
      <c r="E34" s="26" t="n"/>
      <c r="F34" s="26" t="n"/>
      <c r="G34" s="26" t="n">
        <v>359.3</v>
      </c>
      <c r="H34" s="26" t="n">
        <v>28.19</v>
      </c>
      <c r="I34" s="26" t="n">
        <v>16</v>
      </c>
      <c r="J34" s="26" t="n">
        <v>2026</v>
      </c>
    </row>
    <row r="35" ht="15" customHeight="1" s="33">
      <c r="A35" s="8" t="n">
        <v>33</v>
      </c>
      <c r="B35" s="9" t="inlineStr">
        <is>
          <t>Francia</t>
        </is>
      </c>
      <c r="C35" s="8" t="inlineStr">
        <is>
          <t>FRA</t>
        </is>
      </c>
      <c r="D35" s="26" t="n"/>
      <c r="E35" s="26" t="n"/>
      <c r="F35" s="26" t="n"/>
      <c r="G35" s="26" t="n">
        <v>1520</v>
      </c>
      <c r="H35" s="26" t="n">
        <v>26.58</v>
      </c>
      <c r="I35" s="26" t="n">
        <v>25</v>
      </c>
      <c r="J35" s="26" t="n">
        <v>2026</v>
      </c>
    </row>
    <row r="36" ht="15" customHeight="1" s="33">
      <c r="A36" s="8" t="n">
        <v>34</v>
      </c>
      <c r="B36" s="9" t="inlineStr">
        <is>
          <t>Senegal</t>
        </is>
      </c>
      <c r="C36" s="8" t="inlineStr">
        <is>
          <t>SEN</t>
        </is>
      </c>
      <c r="D36" s="26" t="n"/>
      <c r="E36" s="26" t="n"/>
      <c r="F36" s="26" t="n"/>
      <c r="G36" s="26" t="n">
        <v>478.1</v>
      </c>
      <c r="H36" s="26" t="n">
        <v>26.62</v>
      </c>
      <c r="I36" s="26" t="n">
        <v>19</v>
      </c>
      <c r="J36" s="26" t="n">
        <v>2026</v>
      </c>
    </row>
    <row r="37" ht="15" customHeight="1" s="33">
      <c r="A37" s="8" t="n">
        <v>35</v>
      </c>
      <c r="B37" s="9" t="inlineStr">
        <is>
          <t>Irak</t>
        </is>
      </c>
      <c r="C37" s="8" t="inlineStr">
        <is>
          <t>IRQ</t>
        </is>
      </c>
      <c r="D37" s="26" t="n"/>
      <c r="E37" s="26" t="n"/>
      <c r="F37" s="26" t="n"/>
      <c r="G37" s="26" t="n">
        <v>21.2</v>
      </c>
      <c r="H37" s="26" t="n">
        <v>26.65</v>
      </c>
      <c r="I37" s="26" t="n">
        <v>2</v>
      </c>
      <c r="J37" s="26" t="n">
        <v>2026</v>
      </c>
    </row>
    <row r="38" ht="15" customHeight="1" s="33">
      <c r="A38" s="8" t="n">
        <v>36</v>
      </c>
      <c r="B38" s="9" t="inlineStr">
        <is>
          <t>Noruega</t>
        </is>
      </c>
      <c r="C38" s="8" t="inlineStr">
        <is>
          <t>NOR</t>
        </is>
      </c>
      <c r="D38" s="26" t="n"/>
      <c r="E38" s="26" t="n"/>
      <c r="F38" s="26" t="n"/>
      <c r="G38" s="26" t="n">
        <v>589.9</v>
      </c>
      <c r="H38" s="26" t="n">
        <v>26.35</v>
      </c>
      <c r="I38" s="26" t="n">
        <v>15</v>
      </c>
      <c r="J38" s="26" t="n">
        <v>2026</v>
      </c>
    </row>
    <row r="39" ht="15" customHeight="1" s="33">
      <c r="A39" s="8" t="n">
        <v>37</v>
      </c>
      <c r="B39" s="9" t="inlineStr">
        <is>
          <t>Argentina</t>
        </is>
      </c>
      <c r="C39" s="8" t="inlineStr">
        <is>
          <t>ARG</t>
        </is>
      </c>
      <c r="D39" s="26" t="n"/>
      <c r="E39" s="26" t="n"/>
      <c r="F39" s="26" t="n"/>
      <c r="G39" s="26" t="n">
        <v>807.5</v>
      </c>
      <c r="H39" s="26" t="n">
        <v>28.62</v>
      </c>
      <c r="I39" s="26" t="n">
        <v>20</v>
      </c>
      <c r="J39" s="26" t="n">
        <v>2026</v>
      </c>
    </row>
    <row r="40" ht="15" customHeight="1" s="33">
      <c r="A40" s="8" t="n">
        <v>38</v>
      </c>
      <c r="B40" s="9" t="inlineStr">
        <is>
          <t>Argelia</t>
        </is>
      </c>
      <c r="C40" s="8" t="inlineStr">
        <is>
          <t>ALG</t>
        </is>
      </c>
      <c r="D40" s="26" t="n"/>
      <c r="E40" s="26" t="n"/>
      <c r="F40" s="26" t="n"/>
      <c r="G40" s="26" t="n">
        <v>256.9</v>
      </c>
      <c r="H40" s="26" t="n">
        <v>26.46</v>
      </c>
      <c r="I40" s="26" t="n">
        <v>17</v>
      </c>
      <c r="J40" s="26" t="n">
        <v>2026</v>
      </c>
    </row>
    <row r="41" ht="15" customHeight="1" s="33">
      <c r="A41" s="8" t="n">
        <v>39</v>
      </c>
      <c r="B41" s="9" t="inlineStr">
        <is>
          <t>Austria</t>
        </is>
      </c>
      <c r="C41" s="8" t="inlineStr">
        <is>
          <t>AUT</t>
        </is>
      </c>
      <c r="D41" s="26" t="n"/>
      <c r="E41" s="26" t="n"/>
      <c r="F41" s="26" t="n"/>
      <c r="G41" s="26" t="n">
        <v>245.2</v>
      </c>
      <c r="H41" s="26" t="n">
        <v>28.12</v>
      </c>
      <c r="I41" s="26" t="n">
        <v>17</v>
      </c>
      <c r="J41" s="26" t="n">
        <v>2026</v>
      </c>
    </row>
    <row r="42" ht="15" customHeight="1" s="33">
      <c r="A42" s="8" t="n">
        <v>40</v>
      </c>
      <c r="B42" s="9" t="inlineStr">
        <is>
          <t>Jordania</t>
        </is>
      </c>
      <c r="C42" s="8" t="inlineStr">
        <is>
          <t>JOR</t>
        </is>
      </c>
      <c r="D42" s="26" t="n"/>
      <c r="E42" s="26" t="n"/>
      <c r="F42" s="26" t="n"/>
      <c r="G42" s="26" t="n">
        <v>20.3</v>
      </c>
      <c r="H42" s="26" t="n">
        <v>28.08</v>
      </c>
      <c r="I42" s="26" t="n">
        <v>1</v>
      </c>
      <c r="J42" s="26" t="n">
        <v>2026</v>
      </c>
    </row>
    <row r="43" ht="15" customHeight="1" s="33">
      <c r="A43" s="8" t="n">
        <v>41</v>
      </c>
      <c r="B43" s="9" t="inlineStr">
        <is>
          <t>Portugal</t>
        </is>
      </c>
      <c r="C43" s="8" t="inlineStr">
        <is>
          <t>POR</t>
        </is>
      </c>
      <c r="D43" s="26" t="n"/>
      <c r="E43" s="26" t="n"/>
      <c r="F43" s="26" t="n"/>
      <c r="G43" s="26" t="n">
        <v>1010</v>
      </c>
      <c r="H43" s="26" t="n">
        <v>27.54</v>
      </c>
      <c r="I43" s="26" t="n">
        <v>22</v>
      </c>
      <c r="J43" s="26" t="n">
        <v>2026</v>
      </c>
    </row>
    <row r="44" ht="15" customHeight="1" s="33">
      <c r="A44" s="8" t="n">
        <v>42</v>
      </c>
      <c r="B44" s="9" t="inlineStr">
        <is>
          <t>RD Congo</t>
        </is>
      </c>
      <c r="C44" s="8" t="inlineStr">
        <is>
          <t>COD</t>
        </is>
      </c>
      <c r="D44" s="26" t="n"/>
      <c r="E44" s="26" t="n"/>
      <c r="F44" s="26" t="n"/>
      <c r="G44" s="26" t="n">
        <v>143.9</v>
      </c>
      <c r="H44" s="26" t="n">
        <v>28.5</v>
      </c>
      <c r="I44" s="26" t="n">
        <v>13</v>
      </c>
      <c r="J44" s="26" t="n">
        <v>2026</v>
      </c>
    </row>
    <row r="45" ht="15" customHeight="1" s="33">
      <c r="A45" s="8" t="n">
        <v>43</v>
      </c>
      <c r="B45" s="9" t="inlineStr">
        <is>
          <t>Uzbekistán</t>
        </is>
      </c>
      <c r="C45" s="8" t="inlineStr">
        <is>
          <t>UZB</t>
        </is>
      </c>
      <c r="D45" s="26" t="n"/>
      <c r="E45" s="26" t="n"/>
      <c r="F45" s="26" t="n"/>
      <c r="G45" s="26" t="n">
        <v>85.33</v>
      </c>
      <c r="H45" s="26" t="n">
        <v>27.96</v>
      </c>
      <c r="I45" s="26" t="n">
        <v>2</v>
      </c>
      <c r="J45" s="26" t="n">
        <v>2026</v>
      </c>
    </row>
    <row r="46" ht="15" customHeight="1" s="33">
      <c r="A46" s="8" t="n">
        <v>44</v>
      </c>
      <c r="B46" s="9" t="inlineStr">
        <is>
          <t>Colombia</t>
        </is>
      </c>
      <c r="C46" s="8" t="inlineStr">
        <is>
          <t>COL</t>
        </is>
      </c>
      <c r="D46" s="26" t="n"/>
      <c r="E46" s="26" t="n"/>
      <c r="F46" s="26" t="n"/>
      <c r="G46" s="26" t="n">
        <v>302.35</v>
      </c>
      <c r="H46" s="26" t="n">
        <v>29.58</v>
      </c>
      <c r="I46" s="26" t="n">
        <v>15</v>
      </c>
      <c r="J46" s="26" t="n">
        <v>2026</v>
      </c>
    </row>
    <row r="47" ht="15" customHeight="1" s="33">
      <c r="A47" s="8" t="n">
        <v>45</v>
      </c>
      <c r="B47" s="9" t="inlineStr">
        <is>
          <t>Inglaterra</t>
        </is>
      </c>
      <c r="C47" s="8" t="inlineStr">
        <is>
          <t>ENG</t>
        </is>
      </c>
      <c r="D47" s="26" t="n"/>
      <c r="E47" s="26" t="n"/>
      <c r="F47" s="26" t="n"/>
      <c r="G47" s="26" t="n">
        <v>1360</v>
      </c>
      <c r="H47" s="26" t="n">
        <v>26.62</v>
      </c>
      <c r="I47" s="26" t="n">
        <v>26</v>
      </c>
      <c r="J47" s="26" t="n">
        <v>2026</v>
      </c>
    </row>
    <row r="48" ht="15" customHeight="1" s="33">
      <c r="A48" s="8" t="n">
        <v>46</v>
      </c>
      <c r="B48" s="9" t="inlineStr">
        <is>
          <t>Croacia</t>
        </is>
      </c>
      <c r="C48" s="8" t="inlineStr">
        <is>
          <t>CRO</t>
        </is>
      </c>
      <c r="D48" s="26" t="n"/>
      <c r="E48" s="26" t="n"/>
      <c r="F48" s="26" t="n"/>
      <c r="G48" s="26" t="n">
        <v>387.3</v>
      </c>
      <c r="H48" s="26" t="n">
        <v>27.88</v>
      </c>
      <c r="I48" s="26" t="n">
        <v>19</v>
      </c>
      <c r="J48" s="26" t="n">
        <v>2026</v>
      </c>
    </row>
    <row r="49" ht="15" customHeight="1" s="33">
      <c r="A49" s="8" t="n">
        <v>47</v>
      </c>
      <c r="B49" s="9" t="inlineStr">
        <is>
          <t>Ghana</t>
        </is>
      </c>
      <c r="C49" s="8" t="inlineStr">
        <is>
          <t>GHA</t>
        </is>
      </c>
      <c r="D49" s="26" t="n"/>
      <c r="E49" s="26" t="n"/>
      <c r="F49" s="26" t="n"/>
      <c r="G49" s="26" t="n">
        <v>234.5</v>
      </c>
      <c r="H49" s="26" t="n">
        <v>26.42</v>
      </c>
      <c r="I49" s="26" t="n">
        <v>15</v>
      </c>
      <c r="J49" s="26" t="n">
        <v>2026</v>
      </c>
    </row>
    <row r="50" ht="15" customHeight="1" s="33">
      <c r="A50" s="8" t="n">
        <v>48</v>
      </c>
      <c r="B50" s="9" t="inlineStr">
        <is>
          <t>Panamá</t>
        </is>
      </c>
      <c r="C50" s="8" t="inlineStr">
        <is>
          <t>PAN</t>
        </is>
      </c>
      <c r="D50" s="26" t="n"/>
      <c r="E50" s="26" t="n"/>
      <c r="F50" s="26" t="n"/>
      <c r="G50" s="26" t="n">
        <v>34.55</v>
      </c>
      <c r="H50" s="26" t="n">
        <v>30</v>
      </c>
      <c r="I50" s="26" t="n">
        <v>3</v>
      </c>
      <c r="J50" s="26" t="n">
        <v>2026</v>
      </c>
    </row>
    <row r="51" ht="15.75" customHeight="1" s="33"/>
    <row r="52" ht="15" customHeight="1" s="33">
      <c r="B52" s="32" t="inlineStr">
        <is>
          <t>Fuentes sugeridas — Población y PIB: Banco Mundial (data.worldbank.org). Valor de plantel y datos de jugadores: Transfermarkt. Anotá el año de referencia para mantener consistencia.</t>
        </is>
      </c>
    </row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1:J1"/>
    <mergeCell ref="B52:J5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2" topLeftCell="A42" activePane="bottomLeft" state="frozen"/>
      <selection pane="bottomLeft" activeCell="A1" sqref="A1:J74"/>
    </sheetView>
  </sheetViews>
  <sheetFormatPr baseColWidth="10" defaultColWidth="14.42578125" defaultRowHeight="15" customHeight="1"/>
  <cols>
    <col width="6" customWidth="1" style="33" min="1" max="1"/>
    <col width="7" customWidth="1" style="33" min="2" max="2"/>
    <col width="9" customWidth="1" style="33" min="3" max="3"/>
    <col width="22" customWidth="1" style="33" min="4" max="5"/>
    <col width="9" customWidth="1" style="33" min="6" max="8"/>
    <col width="8" customWidth="1" style="33" min="9" max="10"/>
    <col width="8.7109375" customWidth="1" style="33" min="11" max="26"/>
  </cols>
  <sheetData>
    <row r="1" ht="24" customHeight="1" s="33">
      <c r="A1" s="34" t="inlineStr">
        <is>
          <t>Fixture fase de grupos — cargá Goles A y Goles B (azul)</t>
        </is>
      </c>
    </row>
    <row r="2" ht="15" customHeight="1" s="33">
      <c r="A2" s="7" t="inlineStr">
        <is>
          <t>ID</t>
        </is>
      </c>
      <c r="B2" s="7" t="inlineStr">
        <is>
          <t>Grupo</t>
        </is>
      </c>
      <c r="C2" s="7" t="inlineStr">
        <is>
          <t>Jornada</t>
        </is>
      </c>
      <c r="D2" s="7" t="inlineStr">
        <is>
          <t>Equipo A</t>
        </is>
      </c>
      <c r="E2" s="7" t="inlineStr">
        <is>
          <t>Equipo B</t>
        </is>
      </c>
      <c r="F2" s="7" t="inlineStr">
        <is>
          <t>Goles A</t>
        </is>
      </c>
      <c r="G2" s="7" t="inlineStr">
        <is>
          <t>Goles B</t>
        </is>
      </c>
      <c r="H2" s="7" t="inlineStr">
        <is>
          <t>Jugado</t>
        </is>
      </c>
      <c r="I2" s="7" t="inlineStr">
        <is>
          <t>Pts A</t>
        </is>
      </c>
      <c r="J2" s="7" t="inlineStr">
        <is>
          <t>Pts B</t>
        </is>
      </c>
      <c r="K2" s="27" t="inlineStr">
        <is>
          <t>Sede</t>
        </is>
      </c>
    </row>
    <row r="3" ht="15" customHeight="1" s="33">
      <c r="A3" s="8" t="n">
        <v>1</v>
      </c>
      <c r="B3" s="8" t="inlineStr">
        <is>
          <t>A</t>
        </is>
      </c>
      <c r="C3" s="8" t="n">
        <v>1</v>
      </c>
      <c r="D3" s="9" t="inlineStr">
        <is>
          <t>México</t>
        </is>
      </c>
      <c r="E3" s="9" t="inlineStr">
        <is>
          <t>Sudáfrica</t>
        </is>
      </c>
      <c r="F3" s="26" t="n">
        <v>2</v>
      </c>
      <c r="G3" s="26" t="n">
        <v>0</v>
      </c>
      <c r="H3" s="8">
        <f>IF(AND(ISNUMBER(F3),ISNUMBER(G3)),1,0)</f>
        <v/>
      </c>
      <c r="I3" s="8">
        <f>IF(H3=1,IF(F3&gt;G3,3,IF(F3=G3,1,0)),"")</f>
        <v/>
      </c>
      <c r="J3" s="8">
        <f>IF(H3=1,IF(G3&gt;F3,3,IF(F3=G3,1,0)),"")</f>
        <v/>
      </c>
    </row>
    <row r="4" ht="15" customHeight="1" s="33">
      <c r="A4" s="11" t="n">
        <v>2</v>
      </c>
      <c r="B4" s="11" t="inlineStr">
        <is>
          <t>A</t>
        </is>
      </c>
      <c r="C4" s="11" t="n">
        <v>1</v>
      </c>
      <c r="D4" s="12" t="inlineStr">
        <is>
          <t>Corea del Sur</t>
        </is>
      </c>
      <c r="E4" s="12" t="inlineStr">
        <is>
          <t>Chequia</t>
        </is>
      </c>
      <c r="F4" s="28" t="n">
        <v>2</v>
      </c>
      <c r="G4" s="28" t="n">
        <v>1</v>
      </c>
      <c r="H4" s="11">
        <f>IF(AND(ISNUMBER(F4),ISNUMBER(G4)),1,0)</f>
        <v/>
      </c>
      <c r="I4" s="11">
        <f>IF(H4=1,IF(F4&gt;G4,3,IF(F4=G4,1,0)),"")</f>
        <v/>
      </c>
      <c r="J4" s="11">
        <f>IF(H4=1,IF(G4&gt;F4,3,IF(F4=G4,1,0)),"")</f>
        <v/>
      </c>
    </row>
    <row r="5" ht="15" customHeight="1" s="33">
      <c r="A5" s="8" t="n">
        <v>3</v>
      </c>
      <c r="B5" s="8" t="inlineStr">
        <is>
          <t>A</t>
        </is>
      </c>
      <c r="C5" s="8" t="n">
        <v>2</v>
      </c>
      <c r="D5" s="9" t="inlineStr">
        <is>
          <t>México</t>
        </is>
      </c>
      <c r="E5" s="9" t="inlineStr">
        <is>
          <t>Corea del Sur</t>
        </is>
      </c>
      <c r="F5" s="26" t="n">
        <v>1</v>
      </c>
      <c r="G5" s="26" t="n">
        <v>0</v>
      </c>
      <c r="H5" s="8">
        <f>IF(AND(ISNUMBER(F5),ISNUMBER(G5)),1,0)</f>
        <v/>
      </c>
      <c r="I5" s="8">
        <f>IF(H5=1,IF(F5&gt;G5,3,IF(F5=G5,1,0)),"")</f>
        <v/>
      </c>
      <c r="J5" s="8">
        <f>IF(H5=1,IF(G5&gt;F5,3,IF(F5=G5,1,0)),"")</f>
        <v/>
      </c>
    </row>
    <row r="6" ht="15" customHeight="1" s="33">
      <c r="A6" s="11" t="n">
        <v>4</v>
      </c>
      <c r="B6" s="11" t="inlineStr">
        <is>
          <t>A</t>
        </is>
      </c>
      <c r="C6" s="11" t="n">
        <v>2</v>
      </c>
      <c r="D6" s="12" t="inlineStr">
        <is>
          <t>Sudáfrica</t>
        </is>
      </c>
      <c r="E6" s="12" t="inlineStr">
        <is>
          <t>Chequia</t>
        </is>
      </c>
      <c r="F6" s="28" t="n">
        <v>1</v>
      </c>
      <c r="G6" s="28" t="n">
        <v>1</v>
      </c>
      <c r="H6" s="11">
        <f>IF(AND(ISNUMBER(F6),ISNUMBER(G6)),1,0)</f>
        <v/>
      </c>
      <c r="I6" s="11">
        <f>IF(H6=1,IF(F6&gt;G6,3,IF(F6=G6,1,0)),"")</f>
        <v/>
      </c>
      <c r="J6" s="11">
        <f>IF(H6=1,IF(G6&gt;F6,3,IF(F6=G6,1,0)),"")</f>
        <v/>
      </c>
    </row>
    <row r="7" ht="15" customHeight="1" s="33">
      <c r="A7" s="8" t="n">
        <v>5</v>
      </c>
      <c r="B7" s="8" t="inlineStr">
        <is>
          <t>A</t>
        </is>
      </c>
      <c r="C7" s="8" t="n">
        <v>3</v>
      </c>
      <c r="D7" s="9" t="inlineStr">
        <is>
          <t>México</t>
        </is>
      </c>
      <c r="E7" s="9" t="inlineStr">
        <is>
          <t>Chequia</t>
        </is>
      </c>
      <c r="F7" s="26" t="n">
        <v>3</v>
      </c>
      <c r="G7" s="26" t="n">
        <v>0</v>
      </c>
      <c r="H7" s="8">
        <f>IF(AND(ISNUMBER(F7),ISNUMBER(G7)),1,0)</f>
        <v/>
      </c>
      <c r="I7" s="8">
        <f>IF(H7=1,IF(F7&gt;G7,3,IF(F7=G7,1,0)),"")</f>
        <v/>
      </c>
      <c r="J7" s="8">
        <f>IF(H7=1,IF(G7&gt;F7,3,IF(F7=G7,1,0)),"")</f>
        <v/>
      </c>
    </row>
    <row r="8" ht="15" customHeight="1" s="33">
      <c r="A8" s="11" t="n">
        <v>6</v>
      </c>
      <c r="B8" s="11" t="inlineStr">
        <is>
          <t>A</t>
        </is>
      </c>
      <c r="C8" s="11" t="n">
        <v>3</v>
      </c>
      <c r="D8" s="12" t="inlineStr">
        <is>
          <t>Sudáfrica</t>
        </is>
      </c>
      <c r="E8" s="12" t="inlineStr">
        <is>
          <t>Corea del Sur</t>
        </is>
      </c>
      <c r="F8" s="28" t="n">
        <v>1</v>
      </c>
      <c r="G8" s="28" t="n">
        <v>0</v>
      </c>
      <c r="H8" s="11">
        <f>IF(AND(ISNUMBER(F8),ISNUMBER(G8)),1,0)</f>
        <v/>
      </c>
      <c r="I8" s="11">
        <f>IF(H8=1,IF(F8&gt;G8,3,IF(F8=G8,1,0)),"")</f>
        <v/>
      </c>
      <c r="J8" s="11">
        <f>IF(H8=1,IF(G8&gt;F8,3,IF(F8=G8,1,0)),"")</f>
        <v/>
      </c>
    </row>
    <row r="9" ht="15" customHeight="1" s="33">
      <c r="A9" s="8" t="n">
        <v>7</v>
      </c>
      <c r="B9" s="8" t="inlineStr">
        <is>
          <t>B</t>
        </is>
      </c>
      <c r="C9" s="8" t="n">
        <v>1</v>
      </c>
      <c r="D9" s="9" t="inlineStr">
        <is>
          <t>Canadá</t>
        </is>
      </c>
      <c r="E9" s="9" t="inlineStr">
        <is>
          <t>Bosnia y Herzegovina</t>
        </is>
      </c>
      <c r="F9" s="26" t="n">
        <v>1</v>
      </c>
      <c r="G9" s="26" t="n">
        <v>1</v>
      </c>
      <c r="H9" s="8">
        <f>IF(AND(ISNUMBER(F9),ISNUMBER(G9)),1,0)</f>
        <v/>
      </c>
      <c r="I9" s="8">
        <f>IF(H9=1,IF(F9&gt;G9,3,IF(F9=G9,1,0)),"")</f>
        <v/>
      </c>
      <c r="J9" s="8">
        <f>IF(H9=1,IF(G9&gt;F9,3,IF(F9=G9,1,0)),"")</f>
        <v/>
      </c>
    </row>
    <row r="10" ht="15" customHeight="1" s="33">
      <c r="A10" s="11" t="n">
        <v>8</v>
      </c>
      <c r="B10" s="11" t="inlineStr">
        <is>
          <t>B</t>
        </is>
      </c>
      <c r="C10" s="11" t="n">
        <v>1</v>
      </c>
      <c r="D10" s="12" t="inlineStr">
        <is>
          <t>Catar</t>
        </is>
      </c>
      <c r="E10" s="12" t="inlineStr">
        <is>
          <t>Suiza</t>
        </is>
      </c>
      <c r="F10" s="28" t="n">
        <v>1</v>
      </c>
      <c r="G10" s="28" t="n">
        <v>1</v>
      </c>
      <c r="H10" s="11">
        <f>IF(AND(ISNUMBER(F10),ISNUMBER(G10)),1,0)</f>
        <v/>
      </c>
      <c r="I10" s="11">
        <f>IF(H10=1,IF(F10&gt;G10,3,IF(F10=G10,1,0)),"")</f>
        <v/>
      </c>
      <c r="J10" s="11">
        <f>IF(H10=1,IF(G10&gt;F10,3,IF(F10=G10,1,0)),"")</f>
        <v/>
      </c>
    </row>
    <row r="11" ht="15" customHeight="1" s="33">
      <c r="A11" s="8" t="n">
        <v>9</v>
      </c>
      <c r="B11" s="8" t="inlineStr">
        <is>
          <t>B</t>
        </is>
      </c>
      <c r="C11" s="8" t="n">
        <v>2</v>
      </c>
      <c r="D11" s="9" t="inlineStr">
        <is>
          <t>Canadá</t>
        </is>
      </c>
      <c r="E11" s="9" t="inlineStr">
        <is>
          <t>Catar</t>
        </is>
      </c>
      <c r="F11" s="26" t="n">
        <v>6</v>
      </c>
      <c r="G11" s="26" t="n">
        <v>0</v>
      </c>
      <c r="H11" s="8">
        <f>IF(AND(ISNUMBER(F11),ISNUMBER(G11)),1,0)</f>
        <v/>
      </c>
      <c r="I11" s="8">
        <f>IF(H11=1,IF(F11&gt;G11,3,IF(F11=G11,1,0)),"")</f>
        <v/>
      </c>
      <c r="J11" s="8">
        <f>IF(H11=1,IF(G11&gt;F11,3,IF(F11=G11,1,0)),"")</f>
        <v/>
      </c>
    </row>
    <row r="12" ht="15" customHeight="1" s="33">
      <c r="A12" s="11" t="n">
        <v>10</v>
      </c>
      <c r="B12" s="11" t="inlineStr">
        <is>
          <t>B</t>
        </is>
      </c>
      <c r="C12" s="11" t="n">
        <v>2</v>
      </c>
      <c r="D12" s="12" t="inlineStr">
        <is>
          <t>Bosnia y Herzegovina</t>
        </is>
      </c>
      <c r="E12" s="12" t="inlineStr">
        <is>
          <t>Suiza</t>
        </is>
      </c>
      <c r="F12" s="28" t="n">
        <v>1</v>
      </c>
      <c r="G12" s="28" t="n">
        <v>4</v>
      </c>
      <c r="H12" s="11">
        <f>IF(AND(ISNUMBER(F12),ISNUMBER(G12)),1,0)</f>
        <v/>
      </c>
      <c r="I12" s="11">
        <f>IF(H12=1,IF(F12&gt;G12,3,IF(F12=G12,1,0)),"")</f>
        <v/>
      </c>
      <c r="J12" s="11">
        <f>IF(H12=1,IF(G12&gt;F12,3,IF(F12=G12,1,0)),"")</f>
        <v/>
      </c>
    </row>
    <row r="13" ht="15" customHeight="1" s="33">
      <c r="A13" s="8" t="n">
        <v>11</v>
      </c>
      <c r="B13" s="8" t="inlineStr">
        <is>
          <t>B</t>
        </is>
      </c>
      <c r="C13" s="8" t="n">
        <v>3</v>
      </c>
      <c r="D13" s="9" t="inlineStr">
        <is>
          <t>Canadá</t>
        </is>
      </c>
      <c r="E13" s="9" t="inlineStr">
        <is>
          <t>Suiza</t>
        </is>
      </c>
      <c r="F13" s="26" t="n">
        <v>1</v>
      </c>
      <c r="G13" s="26" t="n">
        <v>2</v>
      </c>
      <c r="H13" s="8">
        <f>IF(AND(ISNUMBER(F13),ISNUMBER(G13)),1,0)</f>
        <v/>
      </c>
      <c r="I13" s="8">
        <f>IF(H13=1,IF(F13&gt;G13,3,IF(F13=G13,1,0)),"")</f>
        <v/>
      </c>
      <c r="J13" s="8">
        <f>IF(H13=1,IF(G13&gt;F13,3,IF(F13=G13,1,0)),"")</f>
        <v/>
      </c>
    </row>
    <row r="14" ht="15" customHeight="1" s="33">
      <c r="A14" s="11" t="n">
        <v>12</v>
      </c>
      <c r="B14" s="11" t="inlineStr">
        <is>
          <t>B</t>
        </is>
      </c>
      <c r="C14" s="11" t="n">
        <v>3</v>
      </c>
      <c r="D14" s="12" t="inlineStr">
        <is>
          <t>Bosnia y Herzegovina</t>
        </is>
      </c>
      <c r="E14" s="12" t="inlineStr">
        <is>
          <t>Catar</t>
        </is>
      </c>
      <c r="F14" s="28" t="n">
        <v>3</v>
      </c>
      <c r="G14" s="28" t="n">
        <v>1</v>
      </c>
      <c r="H14" s="11">
        <f>IF(AND(ISNUMBER(F14),ISNUMBER(G14)),1,0)</f>
        <v/>
      </c>
      <c r="I14" s="11">
        <f>IF(H14=1,IF(F14&gt;G14,3,IF(F14=G14,1,0)),"")</f>
        <v/>
      </c>
      <c r="J14" s="11">
        <f>IF(H14=1,IF(G14&gt;F14,3,IF(F14=G14,1,0)),"")</f>
        <v/>
      </c>
    </row>
    <row r="15" ht="15" customHeight="1" s="33">
      <c r="A15" s="8" t="n">
        <v>13</v>
      </c>
      <c r="B15" s="8" t="inlineStr">
        <is>
          <t>C</t>
        </is>
      </c>
      <c r="C15" s="8" t="n">
        <v>1</v>
      </c>
      <c r="D15" s="9" t="inlineStr">
        <is>
          <t>Brasil</t>
        </is>
      </c>
      <c r="E15" s="9" t="inlineStr">
        <is>
          <t>Marruecos</t>
        </is>
      </c>
      <c r="F15" s="26" t="n">
        <v>1</v>
      </c>
      <c r="G15" s="26" t="n">
        <v>1</v>
      </c>
      <c r="H15" s="8">
        <f>IF(AND(ISNUMBER(F15),ISNUMBER(G15)),1,0)</f>
        <v/>
      </c>
      <c r="I15" s="8">
        <f>IF(H15=1,IF(F15&gt;G15,3,IF(F15=G15,1,0)),"")</f>
        <v/>
      </c>
      <c r="J15" s="8">
        <f>IF(H15=1,IF(G15&gt;F15,3,IF(F15=G15,1,0)),"")</f>
        <v/>
      </c>
    </row>
    <row r="16" ht="15" customHeight="1" s="33">
      <c r="A16" s="11" t="n">
        <v>14</v>
      </c>
      <c r="B16" s="11" t="inlineStr">
        <is>
          <t>C</t>
        </is>
      </c>
      <c r="C16" s="11" t="n">
        <v>1</v>
      </c>
      <c r="D16" s="12" t="inlineStr">
        <is>
          <t>Haití</t>
        </is>
      </c>
      <c r="E16" s="12" t="inlineStr">
        <is>
          <t>Escocia</t>
        </is>
      </c>
      <c r="F16" s="28" t="n">
        <v>0</v>
      </c>
      <c r="G16" s="28" t="n">
        <v>1</v>
      </c>
      <c r="H16" s="11">
        <f>IF(AND(ISNUMBER(F16),ISNUMBER(G16)),1,0)</f>
        <v/>
      </c>
      <c r="I16" s="11">
        <f>IF(H16=1,IF(F16&gt;G16,3,IF(F16=G16,1,0)),"")</f>
        <v/>
      </c>
      <c r="J16" s="11">
        <f>IF(H16=1,IF(G16&gt;F16,3,IF(F16=G16,1,0)),"")</f>
        <v/>
      </c>
    </row>
    <row r="17" ht="15" customHeight="1" s="33">
      <c r="A17" s="8" t="n">
        <v>15</v>
      </c>
      <c r="B17" s="8" t="inlineStr">
        <is>
          <t>C</t>
        </is>
      </c>
      <c r="C17" s="8" t="n">
        <v>2</v>
      </c>
      <c r="D17" s="9" t="inlineStr">
        <is>
          <t>Brasil</t>
        </is>
      </c>
      <c r="E17" s="9" t="inlineStr">
        <is>
          <t>Haití</t>
        </is>
      </c>
      <c r="F17" s="26" t="n">
        <v>3</v>
      </c>
      <c r="G17" s="26" t="n">
        <v>0</v>
      </c>
      <c r="H17" s="8">
        <f>IF(AND(ISNUMBER(F17),ISNUMBER(G17)),1,0)</f>
        <v/>
      </c>
      <c r="I17" s="8">
        <f>IF(H17=1,IF(F17&gt;G17,3,IF(F17=G17,1,0)),"")</f>
        <v/>
      </c>
      <c r="J17" s="8">
        <f>IF(H17=1,IF(G17&gt;F17,3,IF(F17=G17,1,0)),"")</f>
        <v/>
      </c>
    </row>
    <row r="18" ht="15" customHeight="1" s="33">
      <c r="A18" s="11" t="n">
        <v>16</v>
      </c>
      <c r="B18" s="11" t="inlineStr">
        <is>
          <t>C</t>
        </is>
      </c>
      <c r="C18" s="11" t="n">
        <v>2</v>
      </c>
      <c r="D18" s="12" t="inlineStr">
        <is>
          <t>Marruecos</t>
        </is>
      </c>
      <c r="E18" s="12" t="inlineStr">
        <is>
          <t>Escocia</t>
        </is>
      </c>
      <c r="F18" s="28" t="n">
        <v>1</v>
      </c>
      <c r="G18" s="28" t="n">
        <v>0</v>
      </c>
      <c r="H18" s="11">
        <f>IF(AND(ISNUMBER(F18),ISNUMBER(G18)),1,0)</f>
        <v/>
      </c>
      <c r="I18" s="11">
        <f>IF(H18=1,IF(F18&gt;G18,3,IF(F18=G18,1,0)),"")</f>
        <v/>
      </c>
      <c r="J18" s="11">
        <f>IF(H18=1,IF(G18&gt;F18,3,IF(F18=G18,1,0)),"")</f>
        <v/>
      </c>
    </row>
    <row r="19" ht="15" customHeight="1" s="33">
      <c r="A19" s="8" t="n">
        <v>17</v>
      </c>
      <c r="B19" s="8" t="inlineStr">
        <is>
          <t>C</t>
        </is>
      </c>
      <c r="C19" s="8" t="n">
        <v>3</v>
      </c>
      <c r="D19" s="9" t="inlineStr">
        <is>
          <t>Brasil</t>
        </is>
      </c>
      <c r="E19" s="9" t="inlineStr">
        <is>
          <t>Escocia</t>
        </is>
      </c>
      <c r="F19" s="26" t="n">
        <v>3</v>
      </c>
      <c r="G19" s="26" t="n">
        <v>0</v>
      </c>
      <c r="H19" s="8">
        <f>IF(AND(ISNUMBER(F19),ISNUMBER(G19)),1,0)</f>
        <v/>
      </c>
      <c r="I19" s="8">
        <f>IF(H19=1,IF(F19&gt;G19,3,IF(F19=G19,1,0)),"")</f>
        <v/>
      </c>
      <c r="J19" s="8">
        <f>IF(H19=1,IF(G19&gt;F19,3,IF(F19=G19,1,0)),"")</f>
        <v/>
      </c>
    </row>
    <row r="20" ht="15" customHeight="1" s="33">
      <c r="A20" s="11" t="n">
        <v>18</v>
      </c>
      <c r="B20" s="11" t="inlineStr">
        <is>
          <t>C</t>
        </is>
      </c>
      <c r="C20" s="11" t="n">
        <v>3</v>
      </c>
      <c r="D20" s="12" t="inlineStr">
        <is>
          <t>Marruecos</t>
        </is>
      </c>
      <c r="E20" s="12" t="inlineStr">
        <is>
          <t>Haití</t>
        </is>
      </c>
      <c r="F20" s="28" t="n">
        <v>4</v>
      </c>
      <c r="G20" s="28" t="n">
        <v>2</v>
      </c>
      <c r="H20" s="11">
        <f>IF(AND(ISNUMBER(F20),ISNUMBER(G20)),1,0)</f>
        <v/>
      </c>
      <c r="I20" s="11">
        <f>IF(H20=1,IF(F20&gt;G20,3,IF(F20=G20,1,0)),"")</f>
        <v/>
      </c>
      <c r="J20" s="11">
        <f>IF(H20=1,IF(G20&gt;F20,3,IF(F20=G20,1,0)),"")</f>
        <v/>
      </c>
    </row>
    <row r="21" ht="15" customHeight="1" s="33">
      <c r="A21" s="8" t="n">
        <v>19</v>
      </c>
      <c r="B21" s="8" t="inlineStr">
        <is>
          <t>D</t>
        </is>
      </c>
      <c r="C21" s="8" t="n">
        <v>1</v>
      </c>
      <c r="D21" s="9" t="inlineStr">
        <is>
          <t>Estados Unidos</t>
        </is>
      </c>
      <c r="E21" s="9" t="inlineStr">
        <is>
          <t>Paraguay</t>
        </is>
      </c>
      <c r="F21" s="26" t="n">
        <v>4</v>
      </c>
      <c r="G21" s="26" t="n">
        <v>1</v>
      </c>
      <c r="H21" s="8">
        <f>IF(AND(ISNUMBER(F21),ISNUMBER(G21)),1,0)</f>
        <v/>
      </c>
      <c r="I21" s="8">
        <f>IF(H21=1,IF(F21&gt;G21,3,IF(F21=G21,1,0)),"")</f>
        <v/>
      </c>
      <c r="J21" s="8">
        <f>IF(H21=1,IF(G21&gt;F21,3,IF(F21=G21,1,0)),"")</f>
        <v/>
      </c>
    </row>
    <row r="22" ht="15" customHeight="1" s="33">
      <c r="A22" s="11" t="n">
        <v>20</v>
      </c>
      <c r="B22" s="11" t="inlineStr">
        <is>
          <t>D</t>
        </is>
      </c>
      <c r="C22" s="11" t="n">
        <v>1</v>
      </c>
      <c r="D22" s="12" t="inlineStr">
        <is>
          <t>Australia</t>
        </is>
      </c>
      <c r="E22" s="12" t="inlineStr">
        <is>
          <t>Turquía</t>
        </is>
      </c>
      <c r="F22" s="28" t="n">
        <v>2</v>
      </c>
      <c r="G22" s="28" t="n">
        <v>0</v>
      </c>
      <c r="H22" s="11">
        <f>IF(AND(ISNUMBER(F22),ISNUMBER(G22)),1,0)</f>
        <v/>
      </c>
      <c r="I22" s="11">
        <f>IF(H22=1,IF(F22&gt;G22,3,IF(F22=G22,1,0)),"")</f>
        <v/>
      </c>
      <c r="J22" s="11">
        <f>IF(H22=1,IF(G22&gt;F22,3,IF(F22=G22,1,0)),"")</f>
        <v/>
      </c>
    </row>
    <row r="23" ht="15" customHeight="1" s="33">
      <c r="A23" s="8" t="n">
        <v>21</v>
      </c>
      <c r="B23" s="8" t="inlineStr">
        <is>
          <t>D</t>
        </is>
      </c>
      <c r="C23" s="8" t="n">
        <v>2</v>
      </c>
      <c r="D23" s="9" t="inlineStr">
        <is>
          <t>Estados Unidos</t>
        </is>
      </c>
      <c r="E23" s="9" t="inlineStr">
        <is>
          <t>Australia</t>
        </is>
      </c>
      <c r="F23" s="26" t="n">
        <v>2</v>
      </c>
      <c r="G23" s="26" t="n">
        <v>0</v>
      </c>
      <c r="H23" s="8">
        <f>IF(AND(ISNUMBER(F23),ISNUMBER(G23)),1,0)</f>
        <v/>
      </c>
      <c r="I23" s="8">
        <f>IF(H23=1,IF(F23&gt;G23,3,IF(F23=G23,1,0)),"")</f>
        <v/>
      </c>
      <c r="J23" s="8">
        <f>IF(H23=1,IF(G23&gt;F23,3,IF(F23=G23,1,0)),"")</f>
        <v/>
      </c>
    </row>
    <row r="24" ht="15" customHeight="1" s="33">
      <c r="A24" s="11" t="n">
        <v>22</v>
      </c>
      <c r="B24" s="11" t="inlineStr">
        <is>
          <t>D</t>
        </is>
      </c>
      <c r="C24" s="11" t="n">
        <v>2</v>
      </c>
      <c r="D24" s="12" t="inlineStr">
        <is>
          <t>Paraguay</t>
        </is>
      </c>
      <c r="E24" s="12" t="inlineStr">
        <is>
          <t>Turquía</t>
        </is>
      </c>
      <c r="F24" s="28" t="n">
        <v>1</v>
      </c>
      <c r="G24" s="28" t="n">
        <v>0</v>
      </c>
      <c r="H24" s="11">
        <f>IF(AND(ISNUMBER(F24),ISNUMBER(G24)),1,0)</f>
        <v/>
      </c>
      <c r="I24" s="11">
        <f>IF(H24=1,IF(F24&gt;G24,3,IF(F24=G24,1,0)),"")</f>
        <v/>
      </c>
      <c r="J24" s="11">
        <f>IF(H24=1,IF(G24&gt;F24,3,IF(F24=G24,1,0)),"")</f>
        <v/>
      </c>
    </row>
    <row r="25" ht="15" customHeight="1" s="33">
      <c r="A25" s="8" t="n">
        <v>23</v>
      </c>
      <c r="B25" s="8" t="inlineStr">
        <is>
          <t>D</t>
        </is>
      </c>
      <c r="C25" s="8" t="n">
        <v>3</v>
      </c>
      <c r="D25" s="9" t="inlineStr">
        <is>
          <t>Estados Unidos</t>
        </is>
      </c>
      <c r="E25" s="9" t="inlineStr">
        <is>
          <t>Turquía</t>
        </is>
      </c>
      <c r="F25" s="26" t="n">
        <v>2</v>
      </c>
      <c r="G25" s="26" t="n">
        <v>3</v>
      </c>
      <c r="H25" s="8">
        <f>IF(AND(ISNUMBER(F25),ISNUMBER(G25)),1,0)</f>
        <v/>
      </c>
      <c r="I25" s="8">
        <f>IF(H25=1,IF(F25&gt;G25,3,IF(F25=G25,1,0)),"")</f>
        <v/>
      </c>
      <c r="J25" s="8">
        <f>IF(H25=1,IF(G25&gt;F25,3,IF(F25=G25,1,0)),"")</f>
        <v/>
      </c>
    </row>
    <row r="26" ht="15" customHeight="1" s="33">
      <c r="A26" s="11" t="n">
        <v>24</v>
      </c>
      <c r="B26" s="11" t="inlineStr">
        <is>
          <t>D</t>
        </is>
      </c>
      <c r="C26" s="11" t="n">
        <v>3</v>
      </c>
      <c r="D26" s="12" t="inlineStr">
        <is>
          <t>Paraguay</t>
        </is>
      </c>
      <c r="E26" s="12" t="inlineStr">
        <is>
          <t>Australia</t>
        </is>
      </c>
      <c r="F26" s="28" t="n">
        <v>0</v>
      </c>
      <c r="G26" s="28" t="n">
        <v>0</v>
      </c>
      <c r="H26" s="11">
        <f>IF(AND(ISNUMBER(F26),ISNUMBER(G26)),1,0)</f>
        <v/>
      </c>
      <c r="I26" s="11">
        <f>IF(H26=1,IF(F26&gt;G26,3,IF(F26=G26,1,0)),"")</f>
        <v/>
      </c>
      <c r="J26" s="11">
        <f>IF(H26=1,IF(G26&gt;F26,3,IF(F26=G26,1,0)),"")</f>
        <v/>
      </c>
    </row>
    <row r="27" ht="15" customHeight="1" s="33">
      <c r="A27" s="8" t="n">
        <v>25</v>
      </c>
      <c r="B27" s="8" t="inlineStr">
        <is>
          <t>E</t>
        </is>
      </c>
      <c r="C27" s="8" t="n">
        <v>1</v>
      </c>
      <c r="D27" s="9" t="inlineStr">
        <is>
          <t>Alemania</t>
        </is>
      </c>
      <c r="E27" s="9" t="inlineStr">
        <is>
          <t>Curazao</t>
        </is>
      </c>
      <c r="F27" s="26" t="n">
        <v>7</v>
      </c>
      <c r="G27" s="26" t="n">
        <v>1</v>
      </c>
      <c r="H27" s="8">
        <f>IF(AND(ISNUMBER(F27),ISNUMBER(G27)),1,0)</f>
        <v/>
      </c>
      <c r="I27" s="8">
        <f>IF(H27=1,IF(F27&gt;G27,3,IF(F27=G27,1,0)),"")</f>
        <v/>
      </c>
      <c r="J27" s="8">
        <f>IF(H27=1,IF(G27&gt;F27,3,IF(F27=G27,1,0)),"")</f>
        <v/>
      </c>
    </row>
    <row r="28" ht="15" customHeight="1" s="33">
      <c r="A28" s="11" t="n">
        <v>26</v>
      </c>
      <c r="B28" s="11" t="inlineStr">
        <is>
          <t>E</t>
        </is>
      </c>
      <c r="C28" s="11" t="n">
        <v>1</v>
      </c>
      <c r="D28" s="12" t="inlineStr">
        <is>
          <t>Costa de Marfil</t>
        </is>
      </c>
      <c r="E28" s="12" t="inlineStr">
        <is>
          <t>Ecuador</t>
        </is>
      </c>
      <c r="F28" s="28" t="n">
        <v>1</v>
      </c>
      <c r="G28" s="28" t="n">
        <v>0</v>
      </c>
      <c r="H28" s="11">
        <f>IF(AND(ISNUMBER(F28),ISNUMBER(G28)),1,0)</f>
        <v/>
      </c>
      <c r="I28" s="11">
        <f>IF(H28=1,IF(F28&gt;G28,3,IF(F28=G28,1,0)),"")</f>
        <v/>
      </c>
      <c r="J28" s="11">
        <f>IF(H28=1,IF(G28&gt;F28,3,IF(F28=G28,1,0)),"")</f>
        <v/>
      </c>
    </row>
    <row r="29" ht="15" customHeight="1" s="33">
      <c r="A29" s="8" t="n">
        <v>27</v>
      </c>
      <c r="B29" s="8" t="inlineStr">
        <is>
          <t>E</t>
        </is>
      </c>
      <c r="C29" s="8" t="n">
        <v>2</v>
      </c>
      <c r="D29" s="9" t="inlineStr">
        <is>
          <t>Alemania</t>
        </is>
      </c>
      <c r="E29" s="9" t="inlineStr">
        <is>
          <t>Costa de Marfil</t>
        </is>
      </c>
      <c r="F29" s="26" t="n">
        <v>2</v>
      </c>
      <c r="G29" s="26" t="n">
        <v>1</v>
      </c>
      <c r="H29" s="8">
        <f>IF(AND(ISNUMBER(F29),ISNUMBER(G29)),1,0)</f>
        <v/>
      </c>
      <c r="I29" s="8">
        <f>IF(H29=1,IF(F29&gt;G29,3,IF(F29=G29,1,0)),"")</f>
        <v/>
      </c>
      <c r="J29" s="8">
        <f>IF(H29=1,IF(G29&gt;F29,3,IF(F29=G29,1,0)),"")</f>
        <v/>
      </c>
    </row>
    <row r="30" ht="15" customHeight="1" s="33">
      <c r="A30" s="11" t="n">
        <v>28</v>
      </c>
      <c r="B30" s="11" t="inlineStr">
        <is>
          <t>E</t>
        </is>
      </c>
      <c r="C30" s="11" t="n">
        <v>2</v>
      </c>
      <c r="D30" s="12" t="inlineStr">
        <is>
          <t>Curazao</t>
        </is>
      </c>
      <c r="E30" s="12" t="inlineStr">
        <is>
          <t>Ecuador</t>
        </is>
      </c>
      <c r="F30" s="28" t="n">
        <v>0</v>
      </c>
      <c r="G30" s="28" t="n">
        <v>0</v>
      </c>
      <c r="H30" s="11">
        <f>IF(AND(ISNUMBER(F30),ISNUMBER(G30)),1,0)</f>
        <v/>
      </c>
      <c r="I30" s="11">
        <f>IF(H30=1,IF(F30&gt;G30,3,IF(F30=G30,1,0)),"")</f>
        <v/>
      </c>
      <c r="J30" s="11">
        <f>IF(H30=1,IF(G30&gt;F30,3,IF(F30=G30,1,0)),"")</f>
        <v/>
      </c>
    </row>
    <row r="31" ht="15" customHeight="1" s="33">
      <c r="A31" s="8" t="n">
        <v>29</v>
      </c>
      <c r="B31" s="8" t="inlineStr">
        <is>
          <t>E</t>
        </is>
      </c>
      <c r="C31" s="8" t="n">
        <v>3</v>
      </c>
      <c r="D31" s="9" t="inlineStr">
        <is>
          <t>Alemania</t>
        </is>
      </c>
      <c r="E31" s="9" t="inlineStr">
        <is>
          <t>Ecuador</t>
        </is>
      </c>
      <c r="F31" s="26" t="n">
        <v>1</v>
      </c>
      <c r="G31" s="26" t="n">
        <v>2</v>
      </c>
      <c r="H31" s="8">
        <f>IF(AND(ISNUMBER(F31),ISNUMBER(G31)),1,0)</f>
        <v/>
      </c>
      <c r="I31" s="8">
        <f>IF(H31=1,IF(F31&gt;G31,3,IF(F31=G31,1,0)),"")</f>
        <v/>
      </c>
      <c r="J31" s="8">
        <f>IF(H31=1,IF(G31&gt;F31,3,IF(F31=G31,1,0)),"")</f>
        <v/>
      </c>
    </row>
    <row r="32" ht="15" customHeight="1" s="33">
      <c r="A32" s="11" t="n">
        <v>30</v>
      </c>
      <c r="B32" s="11" t="inlineStr">
        <is>
          <t>E</t>
        </is>
      </c>
      <c r="C32" s="11" t="n">
        <v>3</v>
      </c>
      <c r="D32" s="12" t="inlineStr">
        <is>
          <t>Curazao</t>
        </is>
      </c>
      <c r="E32" s="12" t="inlineStr">
        <is>
          <t>Costa de Marfil</t>
        </is>
      </c>
      <c r="F32" s="28" t="n">
        <v>0</v>
      </c>
      <c r="G32" s="28" t="n">
        <v>2</v>
      </c>
      <c r="H32" s="11">
        <f>IF(AND(ISNUMBER(F32),ISNUMBER(G32)),1,0)</f>
        <v/>
      </c>
      <c r="I32" s="11">
        <f>IF(H32=1,IF(F32&gt;G32,3,IF(F32=G32,1,0)),"")</f>
        <v/>
      </c>
      <c r="J32" s="11">
        <f>IF(H32=1,IF(G32&gt;F32,3,IF(F32=G32,1,0)),"")</f>
        <v/>
      </c>
    </row>
    <row r="33" ht="15" customHeight="1" s="33">
      <c r="A33" s="8" t="n">
        <v>31</v>
      </c>
      <c r="B33" s="8" t="inlineStr">
        <is>
          <t>F</t>
        </is>
      </c>
      <c r="C33" s="8" t="n">
        <v>1</v>
      </c>
      <c r="D33" s="9" t="inlineStr">
        <is>
          <t>Países Bajos</t>
        </is>
      </c>
      <c r="E33" s="9" t="inlineStr">
        <is>
          <t>Japón</t>
        </is>
      </c>
      <c r="F33" s="26" t="n">
        <v>2</v>
      </c>
      <c r="G33" s="26" t="n">
        <v>2</v>
      </c>
      <c r="H33" s="8">
        <f>IF(AND(ISNUMBER(F33),ISNUMBER(G33)),1,0)</f>
        <v/>
      </c>
      <c r="I33" s="8">
        <f>IF(H33=1,IF(F33&gt;G33,3,IF(F33=G33,1,0)),"")</f>
        <v/>
      </c>
      <c r="J33" s="8">
        <f>IF(H33=1,IF(G33&gt;F33,3,IF(F33=G33,1,0)),"")</f>
        <v/>
      </c>
    </row>
    <row r="34" ht="15" customHeight="1" s="33">
      <c r="A34" s="11" t="n">
        <v>32</v>
      </c>
      <c r="B34" s="11" t="inlineStr">
        <is>
          <t>F</t>
        </is>
      </c>
      <c r="C34" s="11" t="n">
        <v>1</v>
      </c>
      <c r="D34" s="12" t="inlineStr">
        <is>
          <t>Suecia</t>
        </is>
      </c>
      <c r="E34" s="12" t="inlineStr">
        <is>
          <t>Túnez</t>
        </is>
      </c>
      <c r="F34" s="28" t="n">
        <v>5</v>
      </c>
      <c r="G34" s="28" t="n">
        <v>1</v>
      </c>
      <c r="H34" s="11">
        <f>IF(AND(ISNUMBER(F34),ISNUMBER(G34)),1,0)</f>
        <v/>
      </c>
      <c r="I34" s="11">
        <f>IF(H34=1,IF(F34&gt;G34,3,IF(F34=G34,1,0)),"")</f>
        <v/>
      </c>
      <c r="J34" s="11">
        <f>IF(H34=1,IF(G34&gt;F34,3,IF(F34=G34,1,0)),"")</f>
        <v/>
      </c>
    </row>
    <row r="35" ht="15" customHeight="1" s="33">
      <c r="A35" s="8" t="n">
        <v>33</v>
      </c>
      <c r="B35" s="8" t="inlineStr">
        <is>
          <t>F</t>
        </is>
      </c>
      <c r="C35" s="8" t="n">
        <v>2</v>
      </c>
      <c r="D35" s="9" t="inlineStr">
        <is>
          <t>Países Bajos</t>
        </is>
      </c>
      <c r="E35" s="9" t="inlineStr">
        <is>
          <t>Suecia</t>
        </is>
      </c>
      <c r="F35" s="26" t="n">
        <v>5</v>
      </c>
      <c r="G35" s="26" t="n">
        <v>1</v>
      </c>
      <c r="H35" s="8">
        <f>IF(AND(ISNUMBER(F35),ISNUMBER(G35)),1,0)</f>
        <v/>
      </c>
      <c r="I35" s="8">
        <f>IF(H35=1,IF(F35&gt;G35,3,IF(F35=G35,1,0)),"")</f>
        <v/>
      </c>
      <c r="J35" s="8">
        <f>IF(H35=1,IF(G35&gt;F35,3,IF(F35=G35,1,0)),"")</f>
        <v/>
      </c>
    </row>
    <row r="36" ht="15" customHeight="1" s="33">
      <c r="A36" s="11" t="n">
        <v>34</v>
      </c>
      <c r="B36" s="11" t="inlineStr">
        <is>
          <t>F</t>
        </is>
      </c>
      <c r="C36" s="11" t="n">
        <v>2</v>
      </c>
      <c r="D36" s="12" t="inlineStr">
        <is>
          <t>Japón</t>
        </is>
      </c>
      <c r="E36" s="12" t="inlineStr">
        <is>
          <t>Túnez</t>
        </is>
      </c>
      <c r="F36" s="28" t="n">
        <v>4</v>
      </c>
      <c r="G36" s="28" t="n">
        <v>0</v>
      </c>
      <c r="H36" s="11">
        <f>IF(AND(ISNUMBER(F36),ISNUMBER(G36)),1,0)</f>
        <v/>
      </c>
      <c r="I36" s="11">
        <f>IF(H36=1,IF(F36&gt;G36,3,IF(F36=G36,1,0)),"")</f>
        <v/>
      </c>
      <c r="J36" s="11">
        <f>IF(H36=1,IF(G36&gt;F36,3,IF(F36=G36,1,0)),"")</f>
        <v/>
      </c>
    </row>
    <row r="37" ht="15" customHeight="1" s="33">
      <c r="A37" s="8" t="n">
        <v>35</v>
      </c>
      <c r="B37" s="8" t="inlineStr">
        <is>
          <t>F</t>
        </is>
      </c>
      <c r="C37" s="8" t="n">
        <v>3</v>
      </c>
      <c r="D37" s="9" t="inlineStr">
        <is>
          <t>Países Bajos</t>
        </is>
      </c>
      <c r="E37" s="9" t="inlineStr">
        <is>
          <t>Túnez</t>
        </is>
      </c>
      <c r="F37" s="26" t="n">
        <v>3</v>
      </c>
      <c r="G37" s="26" t="n">
        <v>1</v>
      </c>
      <c r="H37" s="8">
        <f>IF(AND(ISNUMBER(F37),ISNUMBER(G37)),1,0)</f>
        <v/>
      </c>
      <c r="I37" s="8">
        <f>IF(H37=1,IF(F37&gt;G37,3,IF(F37=G37,1,0)),"")</f>
        <v/>
      </c>
      <c r="J37" s="8">
        <f>IF(H37=1,IF(G37&gt;F37,3,IF(F37=G37,1,0)),"")</f>
        <v/>
      </c>
    </row>
    <row r="38" ht="15" customHeight="1" s="33">
      <c r="A38" s="11" t="n">
        <v>36</v>
      </c>
      <c r="B38" s="11" t="inlineStr">
        <is>
          <t>F</t>
        </is>
      </c>
      <c r="C38" s="11" t="n">
        <v>3</v>
      </c>
      <c r="D38" s="12" t="inlineStr">
        <is>
          <t>Japón</t>
        </is>
      </c>
      <c r="E38" s="12" t="inlineStr">
        <is>
          <t>Suecia</t>
        </is>
      </c>
      <c r="F38" s="28" t="n">
        <v>1</v>
      </c>
      <c r="G38" s="28" t="n">
        <v>1</v>
      </c>
      <c r="H38" s="11">
        <f>IF(AND(ISNUMBER(F38),ISNUMBER(G38)),1,0)</f>
        <v/>
      </c>
      <c r="I38" s="11">
        <f>IF(H38=1,IF(F38&gt;G38,3,IF(F38=G38,1,0)),"")</f>
        <v/>
      </c>
      <c r="J38" s="11">
        <f>IF(H38=1,IF(G38&gt;F38,3,IF(F38=G38,1,0)),"")</f>
        <v/>
      </c>
    </row>
    <row r="39" ht="15" customHeight="1" s="33">
      <c r="A39" s="8" t="n">
        <v>37</v>
      </c>
      <c r="B39" s="8" t="inlineStr">
        <is>
          <t>G</t>
        </is>
      </c>
      <c r="C39" s="8" t="n">
        <v>1</v>
      </c>
      <c r="D39" s="9" t="inlineStr">
        <is>
          <t>Bélgica</t>
        </is>
      </c>
      <c r="E39" s="9" t="inlineStr">
        <is>
          <t>Egipto</t>
        </is>
      </c>
      <c r="F39" s="26" t="n">
        <v>1</v>
      </c>
      <c r="G39" s="26" t="n">
        <v>1</v>
      </c>
      <c r="H39" s="8">
        <f>IF(AND(ISNUMBER(F39),ISNUMBER(G39)),1,0)</f>
        <v/>
      </c>
      <c r="I39" s="8">
        <f>IF(H39=1,IF(F39&gt;G39,3,IF(F39=G39,1,0)),"")</f>
        <v/>
      </c>
      <c r="J39" s="8">
        <f>IF(H39=1,IF(G39&gt;F39,3,IF(F39=G39,1,0)),"")</f>
        <v/>
      </c>
    </row>
    <row r="40" ht="15" customHeight="1" s="33">
      <c r="A40" s="11" t="n">
        <v>38</v>
      </c>
      <c r="B40" s="11" t="inlineStr">
        <is>
          <t>G</t>
        </is>
      </c>
      <c r="C40" s="11" t="n">
        <v>1</v>
      </c>
      <c r="D40" s="12" t="inlineStr">
        <is>
          <t>Irán</t>
        </is>
      </c>
      <c r="E40" s="12" t="inlineStr">
        <is>
          <t>Nueva Zelanda</t>
        </is>
      </c>
      <c r="F40" s="28" t="n">
        <v>2</v>
      </c>
      <c r="G40" s="28" t="n">
        <v>2</v>
      </c>
      <c r="H40" s="11">
        <f>IF(AND(ISNUMBER(F40),ISNUMBER(G40)),1,0)</f>
        <v/>
      </c>
      <c r="I40" s="11">
        <f>IF(H40=1,IF(F40&gt;G40,3,IF(F40=G40,1,0)),"")</f>
        <v/>
      </c>
      <c r="J40" s="11">
        <f>IF(H40=1,IF(G40&gt;F40,3,IF(F40=G40,1,0)),"")</f>
        <v/>
      </c>
    </row>
    <row r="41" ht="15" customHeight="1" s="33">
      <c r="A41" s="8" t="n">
        <v>39</v>
      </c>
      <c r="B41" s="8" t="inlineStr">
        <is>
          <t>G</t>
        </is>
      </c>
      <c r="C41" s="8" t="n">
        <v>2</v>
      </c>
      <c r="D41" s="9" t="inlineStr">
        <is>
          <t>Bélgica</t>
        </is>
      </c>
      <c r="E41" s="9" t="inlineStr">
        <is>
          <t>Irán</t>
        </is>
      </c>
      <c r="F41" s="26" t="n">
        <v>0</v>
      </c>
      <c r="G41" s="26" t="n">
        <v>0</v>
      </c>
      <c r="H41" s="8">
        <f>IF(AND(ISNUMBER(F41),ISNUMBER(G41)),1,0)</f>
        <v/>
      </c>
      <c r="I41" s="8">
        <f>IF(H41=1,IF(F41&gt;G41,3,IF(F41=G41,1,0)),"")</f>
        <v/>
      </c>
      <c r="J41" s="8">
        <f>IF(H41=1,IF(G41&gt;F41,3,IF(F41=G41,1,0)),"")</f>
        <v/>
      </c>
    </row>
    <row r="42" ht="15" customHeight="1" s="33">
      <c r="A42" s="11" t="n">
        <v>40</v>
      </c>
      <c r="B42" s="11" t="inlineStr">
        <is>
          <t>G</t>
        </is>
      </c>
      <c r="C42" s="11" t="n">
        <v>2</v>
      </c>
      <c r="D42" s="12" t="inlineStr">
        <is>
          <t>Egipto</t>
        </is>
      </c>
      <c r="E42" s="12" t="inlineStr">
        <is>
          <t>Nueva Zelanda</t>
        </is>
      </c>
      <c r="F42" s="28" t="n">
        <v>3</v>
      </c>
      <c r="G42" s="28" t="n">
        <v>1</v>
      </c>
      <c r="H42" s="11">
        <f>IF(AND(ISNUMBER(F42),ISNUMBER(G42)),1,0)</f>
        <v/>
      </c>
      <c r="I42" s="11">
        <f>IF(H42=1,IF(F42&gt;G42,3,IF(F42=G42,1,0)),"")</f>
        <v/>
      </c>
      <c r="J42" s="11">
        <f>IF(H42=1,IF(G42&gt;F42,3,IF(F42=G42,1,0)),"")</f>
        <v/>
      </c>
    </row>
    <row r="43" ht="15" customHeight="1" s="33">
      <c r="A43" s="8" t="n">
        <v>41</v>
      </c>
      <c r="B43" s="8" t="inlineStr">
        <is>
          <t>G</t>
        </is>
      </c>
      <c r="C43" s="8" t="n">
        <v>3</v>
      </c>
      <c r="D43" s="9" t="inlineStr">
        <is>
          <t>Bélgica</t>
        </is>
      </c>
      <c r="E43" s="9" t="inlineStr">
        <is>
          <t>Nueva Zelanda</t>
        </is>
      </c>
      <c r="F43" s="26" t="n">
        <v>5</v>
      </c>
      <c r="G43" s="26" t="n">
        <v>1</v>
      </c>
      <c r="H43" s="8">
        <f>IF(AND(ISNUMBER(F43),ISNUMBER(G43)),1,0)</f>
        <v/>
      </c>
      <c r="I43" s="8">
        <f>IF(H43=1,IF(F43&gt;G43,3,IF(F43=G43,1,0)),"")</f>
        <v/>
      </c>
      <c r="J43" s="8">
        <f>IF(H43=1,IF(G43&gt;F43,3,IF(F43=G43,1,0)),"")</f>
        <v/>
      </c>
    </row>
    <row r="44" ht="15" customHeight="1" s="33">
      <c r="A44" s="11" t="n">
        <v>42</v>
      </c>
      <c r="B44" s="11" t="inlineStr">
        <is>
          <t>G</t>
        </is>
      </c>
      <c r="C44" s="11" t="n">
        <v>3</v>
      </c>
      <c r="D44" s="12" t="inlineStr">
        <is>
          <t>Egipto</t>
        </is>
      </c>
      <c r="E44" s="12" t="inlineStr">
        <is>
          <t>Irán</t>
        </is>
      </c>
      <c r="F44" s="28" t="n">
        <v>1</v>
      </c>
      <c r="G44" s="28" t="n">
        <v>1</v>
      </c>
      <c r="H44" s="11">
        <f>IF(AND(ISNUMBER(F44),ISNUMBER(G44)),1,0)</f>
        <v/>
      </c>
      <c r="I44" s="11">
        <f>IF(H44=1,IF(F44&gt;G44,3,IF(F44=G44,1,0)),"")</f>
        <v/>
      </c>
      <c r="J44" s="11">
        <f>IF(H44=1,IF(G44&gt;F44,3,IF(F44=G44,1,0)),"")</f>
        <v/>
      </c>
    </row>
    <row r="45" ht="15" customHeight="1" s="33">
      <c r="A45" s="8" t="n">
        <v>43</v>
      </c>
      <c r="B45" s="8" t="inlineStr">
        <is>
          <t>H</t>
        </is>
      </c>
      <c r="C45" s="8" t="n">
        <v>1</v>
      </c>
      <c r="D45" s="9" t="inlineStr">
        <is>
          <t>España</t>
        </is>
      </c>
      <c r="E45" s="9" t="inlineStr">
        <is>
          <t>Cabo Verde</t>
        </is>
      </c>
      <c r="F45" s="26" t="n">
        <v>0</v>
      </c>
      <c r="G45" s="26" t="n">
        <v>0</v>
      </c>
      <c r="H45" s="8">
        <f>IF(AND(ISNUMBER(F45),ISNUMBER(G45)),1,0)</f>
        <v/>
      </c>
      <c r="I45" s="8">
        <f>IF(H45=1,IF(F45&gt;G45,3,IF(F45=G45,1,0)),"")</f>
        <v/>
      </c>
      <c r="J45" s="8">
        <f>IF(H45=1,IF(G45&gt;F45,3,IF(F45=G45,1,0)),"")</f>
        <v/>
      </c>
    </row>
    <row r="46" ht="15" customHeight="1" s="33">
      <c r="A46" s="11" t="n">
        <v>44</v>
      </c>
      <c r="B46" s="11" t="inlineStr">
        <is>
          <t>H</t>
        </is>
      </c>
      <c r="C46" s="11" t="n">
        <v>1</v>
      </c>
      <c r="D46" s="12" t="inlineStr">
        <is>
          <t>Arabia Saudita</t>
        </is>
      </c>
      <c r="E46" s="12" t="inlineStr">
        <is>
          <t>Uruguay</t>
        </is>
      </c>
      <c r="F46" s="28" t="n">
        <v>1</v>
      </c>
      <c r="G46" s="28" t="n">
        <v>1</v>
      </c>
      <c r="H46" s="11">
        <f>IF(AND(ISNUMBER(F46),ISNUMBER(G46)),1,0)</f>
        <v/>
      </c>
      <c r="I46" s="11">
        <f>IF(H46=1,IF(F46&gt;G46,3,IF(F46=G46,1,0)),"")</f>
        <v/>
      </c>
      <c r="J46" s="11">
        <f>IF(H46=1,IF(G46&gt;F46,3,IF(F46=G46,1,0)),"")</f>
        <v/>
      </c>
    </row>
    <row r="47" ht="15" customHeight="1" s="33">
      <c r="A47" s="8" t="n">
        <v>45</v>
      </c>
      <c r="B47" s="8" t="inlineStr">
        <is>
          <t>H</t>
        </is>
      </c>
      <c r="C47" s="8" t="n">
        <v>2</v>
      </c>
      <c r="D47" s="9" t="inlineStr">
        <is>
          <t>España</t>
        </is>
      </c>
      <c r="E47" s="9" t="inlineStr">
        <is>
          <t>Arabia Saudita</t>
        </is>
      </c>
      <c r="F47" s="26" t="n">
        <v>4</v>
      </c>
      <c r="G47" s="26" t="n">
        <v>0</v>
      </c>
      <c r="H47" s="8">
        <f>IF(AND(ISNUMBER(F47),ISNUMBER(G47)),1,0)</f>
        <v/>
      </c>
      <c r="I47" s="8">
        <f>IF(H47=1,IF(F47&gt;G47,3,IF(F47=G47,1,0)),"")</f>
        <v/>
      </c>
      <c r="J47" s="8">
        <f>IF(H47=1,IF(G47&gt;F47,3,IF(F47=G47,1,0)),"")</f>
        <v/>
      </c>
    </row>
    <row r="48" ht="15" customHeight="1" s="33">
      <c r="A48" s="11" t="n">
        <v>46</v>
      </c>
      <c r="B48" s="11" t="inlineStr">
        <is>
          <t>H</t>
        </is>
      </c>
      <c r="C48" s="11" t="n">
        <v>2</v>
      </c>
      <c r="D48" s="12" t="inlineStr">
        <is>
          <t>Cabo Verde</t>
        </is>
      </c>
      <c r="E48" s="12" t="inlineStr">
        <is>
          <t>Uruguay</t>
        </is>
      </c>
      <c r="F48" s="28" t="n">
        <v>2</v>
      </c>
      <c r="G48" s="28" t="n">
        <v>2</v>
      </c>
      <c r="H48" s="11">
        <f>IF(AND(ISNUMBER(F48),ISNUMBER(G48)),1,0)</f>
        <v/>
      </c>
      <c r="I48" s="11">
        <f>IF(H48=1,IF(F48&gt;G48,3,IF(F48=G48,1,0)),"")</f>
        <v/>
      </c>
      <c r="J48" s="11">
        <f>IF(H48=1,IF(G48&gt;F48,3,IF(F48=G48,1,0)),"")</f>
        <v/>
      </c>
    </row>
    <row r="49" ht="15" customHeight="1" s="33">
      <c r="A49" s="8" t="n">
        <v>47</v>
      </c>
      <c r="B49" s="8" t="inlineStr">
        <is>
          <t>H</t>
        </is>
      </c>
      <c r="C49" s="8" t="n">
        <v>3</v>
      </c>
      <c r="D49" s="9" t="inlineStr">
        <is>
          <t>España</t>
        </is>
      </c>
      <c r="E49" s="9" t="inlineStr">
        <is>
          <t>Uruguay</t>
        </is>
      </c>
      <c r="F49" s="26" t="n">
        <v>1</v>
      </c>
      <c r="G49" s="26" t="n">
        <v>0</v>
      </c>
      <c r="H49" s="8">
        <f>IF(AND(ISNUMBER(F49),ISNUMBER(G49)),1,0)</f>
        <v/>
      </c>
      <c r="I49" s="8">
        <f>IF(H49=1,IF(F49&gt;G49,3,IF(F49=G49,1,0)),"")</f>
        <v/>
      </c>
      <c r="J49" s="8">
        <f>IF(H49=1,IF(G49&gt;F49,3,IF(F49=G49,1,0)),"")</f>
        <v/>
      </c>
    </row>
    <row r="50" ht="15" customHeight="1" s="33">
      <c r="A50" s="11" t="n">
        <v>48</v>
      </c>
      <c r="B50" s="11" t="inlineStr">
        <is>
          <t>H</t>
        </is>
      </c>
      <c r="C50" s="11" t="n">
        <v>3</v>
      </c>
      <c r="D50" s="12" t="inlineStr">
        <is>
          <t>Cabo Verde</t>
        </is>
      </c>
      <c r="E50" s="12" t="inlineStr">
        <is>
          <t>Arabia Saudita</t>
        </is>
      </c>
      <c r="F50" s="28" t="n">
        <v>0</v>
      </c>
      <c r="G50" s="28" t="n">
        <v>0</v>
      </c>
      <c r="H50" s="11">
        <f>IF(AND(ISNUMBER(F50),ISNUMBER(G50)),1,0)</f>
        <v/>
      </c>
      <c r="I50" s="11">
        <f>IF(H50=1,IF(F50&gt;G50,3,IF(F50=G50,1,0)),"")</f>
        <v/>
      </c>
      <c r="J50" s="11">
        <f>IF(H50=1,IF(G50&gt;F50,3,IF(F50=G50,1,0)),"")</f>
        <v/>
      </c>
    </row>
    <row r="51" ht="15" customHeight="1" s="33">
      <c r="A51" s="8" t="n">
        <v>49</v>
      </c>
      <c r="B51" s="8" t="inlineStr">
        <is>
          <t>I</t>
        </is>
      </c>
      <c r="C51" s="8" t="n">
        <v>1</v>
      </c>
      <c r="D51" s="9" t="inlineStr">
        <is>
          <t>Francia</t>
        </is>
      </c>
      <c r="E51" s="9" t="inlineStr">
        <is>
          <t>Senegal</t>
        </is>
      </c>
      <c r="F51" s="26" t="n">
        <v>3</v>
      </c>
      <c r="G51" s="26" t="n">
        <v>1</v>
      </c>
      <c r="H51" s="8">
        <f>IF(AND(ISNUMBER(F51),ISNUMBER(G51)),1,0)</f>
        <v/>
      </c>
      <c r="I51" s="8">
        <f>IF(H51=1,IF(F51&gt;G51,3,IF(F51=G51,1,0)),"")</f>
        <v/>
      </c>
      <c r="J51" s="8">
        <f>IF(H51=1,IF(G51&gt;F51,3,IF(F51=G51,1,0)),"")</f>
        <v/>
      </c>
    </row>
    <row r="52" ht="15" customHeight="1" s="33">
      <c r="A52" s="11" t="n">
        <v>50</v>
      </c>
      <c r="B52" s="11" t="inlineStr">
        <is>
          <t>I</t>
        </is>
      </c>
      <c r="C52" s="11" t="n">
        <v>1</v>
      </c>
      <c r="D52" s="12" t="inlineStr">
        <is>
          <t>Irak</t>
        </is>
      </c>
      <c r="E52" s="12" t="inlineStr">
        <is>
          <t>Noruega</t>
        </is>
      </c>
      <c r="F52" s="28" t="n">
        <v>1</v>
      </c>
      <c r="G52" s="28" t="n">
        <v>4</v>
      </c>
      <c r="H52" s="11">
        <f>IF(AND(ISNUMBER(F52),ISNUMBER(G52)),1,0)</f>
        <v/>
      </c>
      <c r="I52" s="11">
        <f>IF(H52=1,IF(F52&gt;G52,3,IF(F52=G52,1,0)),"")</f>
        <v/>
      </c>
      <c r="J52" s="11">
        <f>IF(H52=1,IF(G52&gt;F52,3,IF(F52=G52,1,0)),"")</f>
        <v/>
      </c>
    </row>
    <row r="53" ht="15" customHeight="1" s="33">
      <c r="A53" s="8" t="n">
        <v>51</v>
      </c>
      <c r="B53" s="8" t="inlineStr">
        <is>
          <t>I</t>
        </is>
      </c>
      <c r="C53" s="8" t="n">
        <v>2</v>
      </c>
      <c r="D53" s="9" t="inlineStr">
        <is>
          <t>Francia</t>
        </is>
      </c>
      <c r="E53" s="9" t="inlineStr">
        <is>
          <t>Irak</t>
        </is>
      </c>
      <c r="F53" s="26" t="n">
        <v>3</v>
      </c>
      <c r="G53" s="26" t="n">
        <v>0</v>
      </c>
      <c r="H53" s="8">
        <f>IF(AND(ISNUMBER(F53),ISNUMBER(G53)),1,0)</f>
        <v/>
      </c>
      <c r="I53" s="8">
        <f>IF(H53=1,IF(F53&gt;G53,3,IF(F53=G53,1,0)),"")</f>
        <v/>
      </c>
      <c r="J53" s="8">
        <f>IF(H53=1,IF(G53&gt;F53,3,IF(F53=G53,1,0)),"")</f>
        <v/>
      </c>
    </row>
    <row r="54" ht="15" customHeight="1" s="33">
      <c r="A54" s="11" t="n">
        <v>52</v>
      </c>
      <c r="B54" s="11" t="inlineStr">
        <is>
          <t>I</t>
        </is>
      </c>
      <c r="C54" s="11" t="n">
        <v>2</v>
      </c>
      <c r="D54" s="12" t="inlineStr">
        <is>
          <t>Senegal</t>
        </is>
      </c>
      <c r="E54" s="12" t="inlineStr">
        <is>
          <t>Noruega</t>
        </is>
      </c>
      <c r="F54" s="28" t="n">
        <v>2</v>
      </c>
      <c r="G54" s="28" t="n">
        <v>3</v>
      </c>
      <c r="H54" s="11">
        <f>IF(AND(ISNUMBER(F54),ISNUMBER(G54)),1,0)</f>
        <v/>
      </c>
      <c r="I54" s="11">
        <f>IF(H54=1,IF(F54&gt;G54,3,IF(F54=G54,1,0)),"")</f>
        <v/>
      </c>
      <c r="J54" s="11">
        <f>IF(H54=1,IF(G54&gt;F54,3,IF(F54=G54,1,0)),"")</f>
        <v/>
      </c>
    </row>
    <row r="55" ht="15" customHeight="1" s="33">
      <c r="A55" s="8" t="n">
        <v>53</v>
      </c>
      <c r="B55" s="8" t="inlineStr">
        <is>
          <t>I</t>
        </is>
      </c>
      <c r="C55" s="8" t="n">
        <v>3</v>
      </c>
      <c r="D55" s="9" t="inlineStr">
        <is>
          <t>Francia</t>
        </is>
      </c>
      <c r="E55" s="9" t="inlineStr">
        <is>
          <t>Noruega</t>
        </is>
      </c>
      <c r="F55" s="26" t="n">
        <v>4</v>
      </c>
      <c r="G55" s="26" t="n">
        <v>1</v>
      </c>
      <c r="H55" s="8">
        <f>IF(AND(ISNUMBER(F55),ISNUMBER(G55)),1,0)</f>
        <v/>
      </c>
      <c r="I55" s="8">
        <f>IF(H55=1,IF(F55&gt;G55,3,IF(F55=G55,1,0)),"")</f>
        <v/>
      </c>
      <c r="J55" s="8">
        <f>IF(H55=1,IF(G55&gt;F55,3,IF(F55=G55,1,0)),"")</f>
        <v/>
      </c>
    </row>
    <row r="56" ht="15" customHeight="1" s="33">
      <c r="A56" s="11" t="n">
        <v>54</v>
      </c>
      <c r="B56" s="11" t="inlineStr">
        <is>
          <t>I</t>
        </is>
      </c>
      <c r="C56" s="11" t="n">
        <v>3</v>
      </c>
      <c r="D56" s="12" t="inlineStr">
        <is>
          <t>Senegal</t>
        </is>
      </c>
      <c r="E56" s="12" t="inlineStr">
        <is>
          <t>Irak</t>
        </is>
      </c>
      <c r="F56" s="28" t="n">
        <v>5</v>
      </c>
      <c r="G56" s="28" t="n">
        <v>0</v>
      </c>
      <c r="H56" s="11">
        <f>IF(AND(ISNUMBER(F56),ISNUMBER(G56)),1,0)</f>
        <v/>
      </c>
      <c r="I56" s="11">
        <f>IF(H56=1,IF(F56&gt;G56,3,IF(F56=G56,1,0)),"")</f>
        <v/>
      </c>
      <c r="J56" s="11">
        <f>IF(H56=1,IF(G56&gt;F56,3,IF(F56=G56,1,0)),"")</f>
        <v/>
      </c>
    </row>
    <row r="57" ht="15" customHeight="1" s="33">
      <c r="A57" s="8" t="n">
        <v>55</v>
      </c>
      <c r="B57" s="8" t="inlineStr">
        <is>
          <t>J</t>
        </is>
      </c>
      <c r="C57" s="8" t="n">
        <v>1</v>
      </c>
      <c r="D57" s="9" t="inlineStr">
        <is>
          <t>Argentina</t>
        </is>
      </c>
      <c r="E57" s="9" t="inlineStr">
        <is>
          <t>Argelia</t>
        </is>
      </c>
      <c r="F57" s="26" t="n">
        <v>3</v>
      </c>
      <c r="G57" s="26" t="n">
        <v>0</v>
      </c>
      <c r="H57" s="8">
        <f>IF(AND(ISNUMBER(F57),ISNUMBER(G57)),1,0)</f>
        <v/>
      </c>
      <c r="I57" s="8">
        <f>IF(H57=1,IF(F57&gt;G57,3,IF(F57=G57,1,0)),"")</f>
        <v/>
      </c>
      <c r="J57" s="8">
        <f>IF(H57=1,IF(G57&gt;F57,3,IF(F57=G57,1,0)),"")</f>
        <v/>
      </c>
    </row>
    <row r="58" ht="15" customHeight="1" s="33">
      <c r="A58" s="11" t="n">
        <v>56</v>
      </c>
      <c r="B58" s="11" t="inlineStr">
        <is>
          <t>J</t>
        </is>
      </c>
      <c r="C58" s="11" t="n">
        <v>1</v>
      </c>
      <c r="D58" s="12" t="inlineStr">
        <is>
          <t>Austria</t>
        </is>
      </c>
      <c r="E58" s="12" t="inlineStr">
        <is>
          <t>Jordania</t>
        </is>
      </c>
      <c r="F58" s="28" t="n">
        <v>3</v>
      </c>
      <c r="G58" s="28" t="n">
        <v>1</v>
      </c>
      <c r="H58" s="11">
        <f>IF(AND(ISNUMBER(F58),ISNUMBER(G58)),1,0)</f>
        <v/>
      </c>
      <c r="I58" s="11">
        <f>IF(H58=1,IF(F58&gt;G58,3,IF(F58=G58,1,0)),"")</f>
        <v/>
      </c>
      <c r="J58" s="11">
        <f>IF(H58=1,IF(G58&gt;F58,3,IF(F58=G58,1,0)),"")</f>
        <v/>
      </c>
    </row>
    <row r="59" ht="15" customHeight="1" s="33">
      <c r="A59" s="8" t="n">
        <v>57</v>
      </c>
      <c r="B59" s="8" t="inlineStr">
        <is>
          <t>J</t>
        </is>
      </c>
      <c r="C59" s="8" t="n">
        <v>2</v>
      </c>
      <c r="D59" s="9" t="inlineStr">
        <is>
          <t>Argentina</t>
        </is>
      </c>
      <c r="E59" s="9" t="inlineStr">
        <is>
          <t>Austria</t>
        </is>
      </c>
      <c r="F59" s="26" t="n">
        <v>2</v>
      </c>
      <c r="G59" s="26" t="n">
        <v>0</v>
      </c>
      <c r="H59" s="8">
        <f>IF(AND(ISNUMBER(F59),ISNUMBER(G59)),1,0)</f>
        <v/>
      </c>
      <c r="I59" s="8">
        <f>IF(H59=1,IF(F59&gt;G59,3,IF(F59=G59,1,0)),"")</f>
        <v/>
      </c>
      <c r="J59" s="8">
        <f>IF(H59=1,IF(G59&gt;F59,3,IF(F59=G59,1,0)),"")</f>
        <v/>
      </c>
    </row>
    <row r="60" ht="15" customHeight="1" s="33">
      <c r="A60" s="11" t="n">
        <v>58</v>
      </c>
      <c r="B60" s="11" t="inlineStr">
        <is>
          <t>J</t>
        </is>
      </c>
      <c r="C60" s="11" t="n">
        <v>2</v>
      </c>
      <c r="D60" s="12" t="inlineStr">
        <is>
          <t>Argelia</t>
        </is>
      </c>
      <c r="E60" s="12" t="inlineStr">
        <is>
          <t>Jordania</t>
        </is>
      </c>
      <c r="F60" s="28" t="n">
        <v>2</v>
      </c>
      <c r="G60" s="28" t="n">
        <v>1</v>
      </c>
      <c r="H60" s="11">
        <f>IF(AND(ISNUMBER(F60),ISNUMBER(G60)),1,0)</f>
        <v/>
      </c>
      <c r="I60" s="11">
        <f>IF(H60=1,IF(F60&gt;G60,3,IF(F60=G60,1,0)),"")</f>
        <v/>
      </c>
      <c r="J60" s="11">
        <f>IF(H60=1,IF(G60&gt;F60,3,IF(F60=G60,1,0)),"")</f>
        <v/>
      </c>
    </row>
    <row r="61" ht="15" customHeight="1" s="33">
      <c r="A61" s="8" t="n">
        <v>59</v>
      </c>
      <c r="B61" s="8" t="inlineStr">
        <is>
          <t>J</t>
        </is>
      </c>
      <c r="C61" s="8" t="n">
        <v>3</v>
      </c>
      <c r="D61" s="9" t="inlineStr">
        <is>
          <t>Argentina</t>
        </is>
      </c>
      <c r="E61" s="9" t="inlineStr">
        <is>
          <t>Jordania</t>
        </is>
      </c>
      <c r="F61" s="26" t="n">
        <v>3</v>
      </c>
      <c r="G61" s="26" t="n">
        <v>1</v>
      </c>
      <c r="H61" s="8">
        <f>IF(AND(ISNUMBER(F61),ISNUMBER(G61)),1,0)</f>
        <v/>
      </c>
      <c r="I61" s="8">
        <f>IF(H61=1,IF(F61&gt;G61,3,IF(F61=G61,1,0)),"")</f>
        <v/>
      </c>
      <c r="J61" s="8">
        <f>IF(H61=1,IF(G61&gt;F61,3,IF(F61=G61,1,0)),"")</f>
        <v/>
      </c>
    </row>
    <row r="62" ht="15" customHeight="1" s="33">
      <c r="A62" s="11" t="n">
        <v>60</v>
      </c>
      <c r="B62" s="11" t="inlineStr">
        <is>
          <t>J</t>
        </is>
      </c>
      <c r="C62" s="11" t="n">
        <v>3</v>
      </c>
      <c r="D62" s="12" t="inlineStr">
        <is>
          <t>Argelia</t>
        </is>
      </c>
      <c r="E62" s="12" t="inlineStr">
        <is>
          <t>Austria</t>
        </is>
      </c>
      <c r="F62" s="28" t="n">
        <v>3</v>
      </c>
      <c r="G62" s="28" t="n">
        <v>3</v>
      </c>
      <c r="H62" s="11">
        <f>IF(AND(ISNUMBER(F62),ISNUMBER(G62)),1,0)</f>
        <v/>
      </c>
      <c r="I62" s="11">
        <f>IF(H62=1,IF(F62&gt;G62,3,IF(F62=G62,1,0)),"")</f>
        <v/>
      </c>
      <c r="J62" s="11">
        <f>IF(H62=1,IF(G62&gt;F62,3,IF(F62=G62,1,0)),"")</f>
        <v/>
      </c>
    </row>
    <row r="63" ht="15" customHeight="1" s="33">
      <c r="A63" s="8" t="n">
        <v>61</v>
      </c>
      <c r="B63" s="8" t="inlineStr">
        <is>
          <t>K</t>
        </is>
      </c>
      <c r="C63" s="8" t="n">
        <v>1</v>
      </c>
      <c r="D63" s="9" t="inlineStr">
        <is>
          <t>Portugal</t>
        </is>
      </c>
      <c r="E63" s="9" t="inlineStr">
        <is>
          <t>RD Congo</t>
        </is>
      </c>
      <c r="F63" s="26" t="n">
        <v>1</v>
      </c>
      <c r="G63" s="26" t="n">
        <v>1</v>
      </c>
      <c r="H63" s="8">
        <f>IF(AND(ISNUMBER(F63),ISNUMBER(G63)),1,0)</f>
        <v/>
      </c>
      <c r="I63" s="8">
        <f>IF(H63=1,IF(F63&gt;G63,3,IF(F63=G63,1,0)),"")</f>
        <v/>
      </c>
      <c r="J63" s="8">
        <f>IF(H63=1,IF(G63&gt;F63,3,IF(F63=G63,1,0)),"")</f>
        <v/>
      </c>
    </row>
    <row r="64" ht="15" customHeight="1" s="33">
      <c r="A64" s="11" t="n">
        <v>62</v>
      </c>
      <c r="B64" s="11" t="inlineStr">
        <is>
          <t>K</t>
        </is>
      </c>
      <c r="C64" s="11" t="n">
        <v>1</v>
      </c>
      <c r="D64" s="12" t="inlineStr">
        <is>
          <t>Uzbekistán</t>
        </is>
      </c>
      <c r="E64" s="12" t="inlineStr">
        <is>
          <t>Colombia</t>
        </is>
      </c>
      <c r="F64" s="28" t="n">
        <v>1</v>
      </c>
      <c r="G64" s="28" t="n">
        <v>3</v>
      </c>
      <c r="H64" s="11">
        <f>IF(AND(ISNUMBER(F64),ISNUMBER(G64)),1,0)</f>
        <v/>
      </c>
      <c r="I64" s="11">
        <f>IF(H64=1,IF(F64&gt;G64,3,IF(F64=G64,1,0)),"")</f>
        <v/>
      </c>
      <c r="J64" s="11">
        <f>IF(H64=1,IF(G64&gt;F64,3,IF(F64=G64,1,0)),"")</f>
        <v/>
      </c>
    </row>
    <row r="65" ht="15" customHeight="1" s="33">
      <c r="A65" s="8" t="n">
        <v>63</v>
      </c>
      <c r="B65" s="8" t="inlineStr">
        <is>
          <t>K</t>
        </is>
      </c>
      <c r="C65" s="8" t="n">
        <v>2</v>
      </c>
      <c r="D65" s="9" t="inlineStr">
        <is>
          <t>Portugal</t>
        </is>
      </c>
      <c r="E65" s="9" t="inlineStr">
        <is>
          <t>Uzbekistán</t>
        </is>
      </c>
      <c r="F65" s="26" t="n">
        <v>5</v>
      </c>
      <c r="G65" s="26" t="n">
        <v>0</v>
      </c>
      <c r="H65" s="8">
        <f>IF(AND(ISNUMBER(F65),ISNUMBER(G65)),1,0)</f>
        <v/>
      </c>
      <c r="I65" s="8">
        <f>IF(H65=1,IF(F65&gt;G65,3,IF(F65=G65,1,0)),"")</f>
        <v/>
      </c>
      <c r="J65" s="8">
        <f>IF(H65=1,IF(G65&gt;F65,3,IF(F65=G65,1,0)),"")</f>
        <v/>
      </c>
    </row>
    <row r="66" ht="15" customHeight="1" s="33">
      <c r="A66" s="11" t="n">
        <v>64</v>
      </c>
      <c r="B66" s="11" t="inlineStr">
        <is>
          <t>K</t>
        </is>
      </c>
      <c r="C66" s="11" t="n">
        <v>2</v>
      </c>
      <c r="D66" s="12" t="inlineStr">
        <is>
          <t>RD Congo</t>
        </is>
      </c>
      <c r="E66" s="12" t="inlineStr">
        <is>
          <t>Colombia</t>
        </is>
      </c>
      <c r="F66" s="28" t="n">
        <v>0</v>
      </c>
      <c r="G66" s="28" t="n">
        <v>1</v>
      </c>
      <c r="H66" s="11">
        <f>IF(AND(ISNUMBER(F66),ISNUMBER(G66)),1,0)</f>
        <v/>
      </c>
      <c r="I66" s="11">
        <f>IF(H66=1,IF(F66&gt;G66,3,IF(F66=G66,1,0)),"")</f>
        <v/>
      </c>
      <c r="J66" s="11">
        <f>IF(H66=1,IF(G66&gt;F66,3,IF(F66=G66,1,0)),"")</f>
        <v/>
      </c>
    </row>
    <row r="67" ht="15" customHeight="1" s="33">
      <c r="A67" s="8" t="n">
        <v>65</v>
      </c>
      <c r="B67" s="8" t="inlineStr">
        <is>
          <t>K</t>
        </is>
      </c>
      <c r="C67" s="8" t="n">
        <v>3</v>
      </c>
      <c r="D67" s="9" t="inlineStr">
        <is>
          <t>Portugal</t>
        </is>
      </c>
      <c r="E67" s="9" t="inlineStr">
        <is>
          <t>Colombia</t>
        </is>
      </c>
      <c r="F67" s="26" t="n">
        <v>0</v>
      </c>
      <c r="G67" s="26" t="n">
        <v>0</v>
      </c>
      <c r="H67" s="8">
        <f>IF(AND(ISNUMBER(F67),ISNUMBER(G67)),1,0)</f>
        <v/>
      </c>
      <c r="I67" s="8">
        <f>IF(H67=1,IF(F67&gt;G67,3,IF(F67=G67,1,0)),"")</f>
        <v/>
      </c>
      <c r="J67" s="8">
        <f>IF(H67=1,IF(G67&gt;F67,3,IF(F67=G67,1,0)),"")</f>
        <v/>
      </c>
    </row>
    <row r="68" ht="15" customHeight="1" s="33">
      <c r="A68" s="11" t="n">
        <v>66</v>
      </c>
      <c r="B68" s="11" t="inlineStr">
        <is>
          <t>K</t>
        </is>
      </c>
      <c r="C68" s="11" t="n">
        <v>3</v>
      </c>
      <c r="D68" s="12" t="inlineStr">
        <is>
          <t>RD Congo</t>
        </is>
      </c>
      <c r="E68" s="12" t="inlineStr">
        <is>
          <t>Uzbekistán</t>
        </is>
      </c>
      <c r="F68" s="28" t="n">
        <v>3</v>
      </c>
      <c r="G68" s="28" t="n">
        <v>1</v>
      </c>
      <c r="H68" s="11">
        <f>IF(AND(ISNUMBER(F68),ISNUMBER(G68)),1,0)</f>
        <v/>
      </c>
      <c r="I68" s="11">
        <f>IF(H68=1,IF(F68&gt;G68,3,IF(F68=G68,1,0)),"")</f>
        <v/>
      </c>
      <c r="J68" s="11">
        <f>IF(H68=1,IF(G68&gt;F68,3,IF(F68=G68,1,0)),"")</f>
        <v/>
      </c>
    </row>
    <row r="69" ht="15" customHeight="1" s="33">
      <c r="A69" s="8" t="n">
        <v>67</v>
      </c>
      <c r="B69" s="8" t="inlineStr">
        <is>
          <t>L</t>
        </is>
      </c>
      <c r="C69" s="8" t="n">
        <v>1</v>
      </c>
      <c r="D69" s="9" t="inlineStr">
        <is>
          <t>Inglaterra</t>
        </is>
      </c>
      <c r="E69" s="9" t="inlineStr">
        <is>
          <t>Croacia</t>
        </is>
      </c>
      <c r="F69" s="26" t="n">
        <v>4</v>
      </c>
      <c r="G69" s="26" t="n">
        <v>2</v>
      </c>
      <c r="H69" s="8">
        <f>IF(AND(ISNUMBER(F69),ISNUMBER(G69)),1,0)</f>
        <v/>
      </c>
      <c r="I69" s="8">
        <f>IF(H69=1,IF(F69&gt;G69,3,IF(F69=G69,1,0)),"")</f>
        <v/>
      </c>
      <c r="J69" s="8">
        <f>IF(H69=1,IF(G69&gt;F69,3,IF(F69=G69,1,0)),"")</f>
        <v/>
      </c>
    </row>
    <row r="70" ht="15" customHeight="1" s="33">
      <c r="A70" s="11" t="n">
        <v>68</v>
      </c>
      <c r="B70" s="11" t="inlineStr">
        <is>
          <t>L</t>
        </is>
      </c>
      <c r="C70" s="11" t="n">
        <v>1</v>
      </c>
      <c r="D70" s="12" t="inlineStr">
        <is>
          <t>Ghana</t>
        </is>
      </c>
      <c r="E70" s="12" t="inlineStr">
        <is>
          <t>Panamá</t>
        </is>
      </c>
      <c r="F70" s="28" t="n">
        <v>1</v>
      </c>
      <c r="G70" s="28" t="n">
        <v>0</v>
      </c>
      <c r="H70" s="11">
        <f>IF(AND(ISNUMBER(F70),ISNUMBER(G70)),1,0)</f>
        <v/>
      </c>
      <c r="I70" s="11">
        <f>IF(H70=1,IF(F70&gt;G70,3,IF(F70=G70,1,0)),"")</f>
        <v/>
      </c>
      <c r="J70" s="11">
        <f>IF(H70=1,IF(G70&gt;F70,3,IF(F70=G70,1,0)),"")</f>
        <v/>
      </c>
    </row>
    <row r="71" ht="15" customHeight="1" s="33">
      <c r="A71" s="8" t="n">
        <v>69</v>
      </c>
      <c r="B71" s="8" t="inlineStr">
        <is>
          <t>L</t>
        </is>
      </c>
      <c r="C71" s="8" t="n">
        <v>2</v>
      </c>
      <c r="D71" s="9" t="inlineStr">
        <is>
          <t>Inglaterra</t>
        </is>
      </c>
      <c r="E71" s="9" t="inlineStr">
        <is>
          <t>Ghana</t>
        </is>
      </c>
      <c r="F71" s="26" t="n">
        <v>0</v>
      </c>
      <c r="G71" s="26" t="n">
        <v>0</v>
      </c>
      <c r="H71" s="8">
        <f>IF(AND(ISNUMBER(F71),ISNUMBER(G71)),1,0)</f>
        <v/>
      </c>
      <c r="I71" s="8">
        <f>IF(H71=1,IF(F71&gt;G71,3,IF(F71=G71,1,0)),"")</f>
        <v/>
      </c>
      <c r="J71" s="8">
        <f>IF(H71=1,IF(G71&gt;F71,3,IF(F71=G71,1,0)),"")</f>
        <v/>
      </c>
    </row>
    <row r="72" ht="15" customHeight="1" s="33">
      <c r="A72" s="11" t="n">
        <v>70</v>
      </c>
      <c r="B72" s="11" t="inlineStr">
        <is>
          <t>L</t>
        </is>
      </c>
      <c r="C72" s="11" t="n">
        <v>2</v>
      </c>
      <c r="D72" s="12" t="inlineStr">
        <is>
          <t>Croacia</t>
        </is>
      </c>
      <c r="E72" s="12" t="inlineStr">
        <is>
          <t>Panamá</t>
        </is>
      </c>
      <c r="F72" s="28" t="n">
        <v>1</v>
      </c>
      <c r="G72" s="28" t="n">
        <v>0</v>
      </c>
      <c r="H72" s="11">
        <f>IF(AND(ISNUMBER(F72),ISNUMBER(G72)),1,0)</f>
        <v/>
      </c>
      <c r="I72" s="11">
        <f>IF(H72=1,IF(F72&gt;G72,3,IF(F72=G72,1,0)),"")</f>
        <v/>
      </c>
      <c r="J72" s="11">
        <f>IF(H72=1,IF(G72&gt;F72,3,IF(F72=G72,1,0)),"")</f>
        <v/>
      </c>
    </row>
    <row r="73" ht="15" customHeight="1" s="33">
      <c r="A73" s="8" t="n">
        <v>71</v>
      </c>
      <c r="B73" s="8" t="inlineStr">
        <is>
          <t>L</t>
        </is>
      </c>
      <c r="C73" s="8" t="n">
        <v>3</v>
      </c>
      <c r="D73" s="9" t="inlineStr">
        <is>
          <t>Inglaterra</t>
        </is>
      </c>
      <c r="E73" s="9" t="inlineStr">
        <is>
          <t>Panamá</t>
        </is>
      </c>
      <c r="F73" s="26" t="n">
        <v>2</v>
      </c>
      <c r="G73" s="26" t="n">
        <v>0</v>
      </c>
      <c r="H73" s="8">
        <f>IF(AND(ISNUMBER(F73),ISNUMBER(G73)),1,0)</f>
        <v/>
      </c>
      <c r="I73" s="8">
        <f>IF(H73=1,IF(F73&gt;G73,3,IF(F73=G73,1,0)),"")</f>
        <v/>
      </c>
      <c r="J73" s="8">
        <f>IF(H73=1,IF(G73&gt;F73,3,IF(F73=G73,1,0)),"")</f>
        <v/>
      </c>
    </row>
    <row r="74" ht="15" customHeight="1" s="33">
      <c r="A74" s="11" t="n">
        <v>72</v>
      </c>
      <c r="B74" s="11" t="inlineStr">
        <is>
          <t>L</t>
        </is>
      </c>
      <c r="C74" s="11" t="n">
        <v>3</v>
      </c>
      <c r="D74" s="12" t="inlineStr">
        <is>
          <t>Croacia</t>
        </is>
      </c>
      <c r="E74" s="12" t="inlineStr">
        <is>
          <t>Ghana</t>
        </is>
      </c>
      <c r="F74" s="28" t="n">
        <v>2</v>
      </c>
      <c r="G74" s="28" t="n">
        <v>1</v>
      </c>
      <c r="H74" s="11">
        <f>IF(AND(ISNUMBER(F74),ISNUMBER(G74)),1,0)</f>
        <v/>
      </c>
      <c r="I74" s="11">
        <f>IF(H74=1,IF(F74&gt;G74,3,IF(F74=G74,1,0)),"")</f>
        <v/>
      </c>
      <c r="J74" s="11">
        <f>IF(H74=1,IF(G74&gt;F74,3,IF(F74=G74,1,0)),"")</f>
        <v/>
      </c>
    </row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">
    <mergeCell ref="A1:J1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/>
  <cols>
    <col width="7" customWidth="1" style="33" min="1" max="1"/>
    <col width="5" customWidth="1" style="33" min="2" max="2"/>
    <col width="22" customWidth="1" style="33" min="3" max="3"/>
    <col width="6" customWidth="1" style="33" min="4" max="9"/>
    <col width="7" customWidth="1" style="33" min="10" max="11"/>
    <col width="11" customWidth="1" style="33" min="12" max="12"/>
    <col width="8.7109375" customWidth="1" style="33" min="13" max="26"/>
  </cols>
  <sheetData>
    <row r="1" ht="24" customHeight="1" s="33">
      <c r="A1" s="34" t="inlineStr">
        <is>
          <t>Tabla de posiciones — se calcula sola desde Fixture_Grupos</t>
        </is>
      </c>
    </row>
    <row r="2" ht="15" customHeight="1" s="33">
      <c r="A2" s="7" t="inlineStr">
        <is>
          <t>Grupo</t>
        </is>
      </c>
      <c r="B2" s="7" t="inlineStr">
        <is>
          <t>Pos</t>
        </is>
      </c>
      <c r="C2" s="7" t="inlineStr">
        <is>
          <t>País</t>
        </is>
      </c>
      <c r="D2" s="7" t="inlineStr">
        <is>
          <t>PJ</t>
        </is>
      </c>
      <c r="E2" s="7" t="inlineStr">
        <is>
          <t>PG</t>
        </is>
      </c>
      <c r="F2" s="7" t="inlineStr">
        <is>
          <t>PE</t>
        </is>
      </c>
      <c r="G2" s="7" t="inlineStr">
        <is>
          <t>PP</t>
        </is>
      </c>
      <c r="H2" s="7" t="inlineStr">
        <is>
          <t>GF</t>
        </is>
      </c>
      <c r="I2" s="7" t="inlineStr">
        <is>
          <t>GC</t>
        </is>
      </c>
      <c r="J2" s="7" t="inlineStr">
        <is>
          <t>DG</t>
        </is>
      </c>
      <c r="K2" s="7" t="inlineStr">
        <is>
          <t>Pts</t>
        </is>
      </c>
      <c r="L2" s="7" t="inlineStr">
        <is>
          <t>Orden prov.</t>
        </is>
      </c>
    </row>
    <row r="3" ht="15" customHeight="1" s="33">
      <c r="A3" s="8" t="inlineStr">
        <is>
          <t>A</t>
        </is>
      </c>
      <c r="B3" s="8" t="n">
        <v>1</v>
      </c>
      <c r="C3" s="29" t="inlineStr">
        <is>
          <t>México</t>
        </is>
      </c>
      <c r="D3" s="8">
        <f>SUMPRODUCT((Fixture_Grupos!$D$3:$D$74=$C3)*Fixture_Grupos!$H$3:$H$74)+SUMPRODUCT((Fixture_Grupos!$E$3:$E$74=$C3)*Fixture_Grupos!$H$3:$H$74)</f>
        <v/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/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/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/>
      </c>
      <c r="H3" s="8">
        <f>SUMPRODUCT((Fixture_Grupos!$D$3:$D$74=$C3)*Fixture_Grupos!$H$3:$H$74*Fixture_Grupos!$F$3:$F$74)+SUMPRODUCT((Fixture_Grupos!$E$3:$E$74=$C3)*Fixture_Grupos!$H$3:$H$74*Fixture_Grupos!$G$3:$G$74)</f>
        <v/>
      </c>
      <c r="I3" s="8">
        <f>SUMPRODUCT((Fixture_Grupos!$D$3:$D$74=$C3)*Fixture_Grupos!$H$3:$H$74*Fixture_Grupos!$G$3:$G$74)+SUMPRODUCT((Fixture_Grupos!$E$3:$E$74=$C3)*Fixture_Grupos!$H$3:$H$74*Fixture_Grupos!$F$3:$F$74)</f>
        <v/>
      </c>
      <c r="J3" s="8">
        <f>H3-I3</f>
        <v/>
      </c>
      <c r="K3" s="8">
        <f>3*E3+F3</f>
        <v/>
      </c>
      <c r="L3" s="8">
        <f>SUMPRODUCT(--(($K$3:$K$6*1000+$J$3:$J$6*10+$H$3:$H$6)&gt;($K3*1000+$J3*10+$H3)))+1</f>
        <v/>
      </c>
    </row>
    <row r="4" ht="15" customHeight="1" s="33">
      <c r="A4" s="8" t="inlineStr">
        <is>
          <t>A</t>
        </is>
      </c>
      <c r="B4" s="8" t="n">
        <v>2</v>
      </c>
      <c r="C4" s="29" t="inlineStr">
        <is>
          <t>Sudáfrica</t>
        </is>
      </c>
      <c r="D4" s="8">
        <f>SUMPRODUCT((Fixture_Grupos!$D$3:$D$74=$C4)*Fixture_Grupos!$H$3:$H$74)+SUMPRODUCT((Fixture_Grupos!$E$3:$E$74=$C4)*Fixture_Grupos!$H$3:$H$74)</f>
        <v/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/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/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/>
      </c>
      <c r="H4" s="8">
        <f>SUMPRODUCT((Fixture_Grupos!$D$3:$D$74=$C4)*Fixture_Grupos!$H$3:$H$74*Fixture_Grupos!$F$3:$F$74)+SUMPRODUCT((Fixture_Grupos!$E$3:$E$74=$C4)*Fixture_Grupos!$H$3:$H$74*Fixture_Grupos!$G$3:$G$74)</f>
        <v/>
      </c>
      <c r="I4" s="8">
        <f>SUMPRODUCT((Fixture_Grupos!$D$3:$D$74=$C4)*Fixture_Grupos!$H$3:$H$74*Fixture_Grupos!$G$3:$G$74)+SUMPRODUCT((Fixture_Grupos!$E$3:$E$74=$C4)*Fixture_Grupos!$H$3:$H$74*Fixture_Grupos!$F$3:$F$74)</f>
        <v/>
      </c>
      <c r="J4" s="8">
        <f>H4-I4</f>
        <v/>
      </c>
      <c r="K4" s="8">
        <f>3*E4+F4</f>
        <v/>
      </c>
      <c r="L4" s="8">
        <f>SUMPRODUCT(--(($K$3:$K$6*1000+$J$3:$J$6*10+$H$3:$H$6)&gt;($K4*1000+$J4*10+$H4)))+1</f>
        <v/>
      </c>
    </row>
    <row r="5" ht="15" customHeight="1" s="33">
      <c r="A5" s="8" t="inlineStr">
        <is>
          <t>A</t>
        </is>
      </c>
      <c r="B5" s="8" t="n">
        <v>3</v>
      </c>
      <c r="C5" s="29" t="inlineStr">
        <is>
          <t>Corea del Sur</t>
        </is>
      </c>
      <c r="D5" s="8">
        <f>SUMPRODUCT((Fixture_Grupos!$D$3:$D$74=$C5)*Fixture_Grupos!$H$3:$H$74)+SUMPRODUCT((Fixture_Grupos!$E$3:$E$74=$C5)*Fixture_Grupos!$H$3:$H$74)</f>
        <v/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/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/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/>
      </c>
      <c r="H5" s="8">
        <f>SUMPRODUCT((Fixture_Grupos!$D$3:$D$74=$C5)*Fixture_Grupos!$H$3:$H$74*Fixture_Grupos!$F$3:$F$74)+SUMPRODUCT((Fixture_Grupos!$E$3:$E$74=$C5)*Fixture_Grupos!$H$3:$H$74*Fixture_Grupos!$G$3:$G$74)</f>
        <v/>
      </c>
      <c r="I5" s="8">
        <f>SUMPRODUCT((Fixture_Grupos!$D$3:$D$74=$C5)*Fixture_Grupos!$H$3:$H$74*Fixture_Grupos!$G$3:$G$74)+SUMPRODUCT((Fixture_Grupos!$E$3:$E$74=$C5)*Fixture_Grupos!$H$3:$H$74*Fixture_Grupos!$F$3:$F$74)</f>
        <v/>
      </c>
      <c r="J5" s="8">
        <f>H5-I5</f>
        <v/>
      </c>
      <c r="K5" s="8">
        <f>3*E5+F5</f>
        <v/>
      </c>
      <c r="L5" s="8">
        <f>SUMPRODUCT(--(($K$3:$K$6*1000+$J$3:$J$6*10+$H$3:$H$6)&gt;($K5*1000+$J5*10+$H5)))+1</f>
        <v/>
      </c>
    </row>
    <row r="6" ht="15" customHeight="1" s="33">
      <c r="A6" s="8" t="inlineStr">
        <is>
          <t>A</t>
        </is>
      </c>
      <c r="B6" s="8" t="n">
        <v>4</v>
      </c>
      <c r="C6" s="29" t="inlineStr">
        <is>
          <t>Chequia</t>
        </is>
      </c>
      <c r="D6" s="8">
        <f>SUMPRODUCT((Fixture_Grupos!$D$3:$D$74=$C6)*Fixture_Grupos!$H$3:$H$74)+SUMPRODUCT((Fixture_Grupos!$E$3:$E$74=$C6)*Fixture_Grupos!$H$3:$H$74)</f>
        <v/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/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/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/>
      </c>
      <c r="H6" s="8">
        <f>SUMPRODUCT((Fixture_Grupos!$D$3:$D$74=$C6)*Fixture_Grupos!$H$3:$H$74*Fixture_Grupos!$F$3:$F$74)+SUMPRODUCT((Fixture_Grupos!$E$3:$E$74=$C6)*Fixture_Grupos!$H$3:$H$74*Fixture_Grupos!$G$3:$G$74)</f>
        <v/>
      </c>
      <c r="I6" s="8">
        <f>SUMPRODUCT((Fixture_Grupos!$D$3:$D$74=$C6)*Fixture_Grupos!$H$3:$H$74*Fixture_Grupos!$G$3:$G$74)+SUMPRODUCT((Fixture_Grupos!$E$3:$E$74=$C6)*Fixture_Grupos!$H$3:$H$74*Fixture_Grupos!$F$3:$F$74)</f>
        <v/>
      </c>
      <c r="J6" s="8">
        <f>H6-I6</f>
        <v/>
      </c>
      <c r="K6" s="8">
        <f>3*E6+F6</f>
        <v/>
      </c>
      <c r="L6" s="8">
        <f>SUMPRODUCT(--(($K$3:$K$6*1000+$J$3:$J$6*10+$H$3:$H$6)&gt;($K6*1000+$J6*10+$H6)))+1</f>
        <v/>
      </c>
    </row>
    <row r="7" ht="15" customHeight="1" s="33">
      <c r="A7" s="11" t="inlineStr">
        <is>
          <t>B</t>
        </is>
      </c>
      <c r="B7" s="11" t="n">
        <v>1</v>
      </c>
      <c r="C7" s="30" t="inlineStr">
        <is>
          <t>Canadá</t>
        </is>
      </c>
      <c r="D7" s="11">
        <f>SUMPRODUCT((Fixture_Grupos!$D$3:$D$74=$C7)*Fixture_Grupos!$H$3:$H$74)+SUMPRODUCT((Fixture_Grupos!$E$3:$E$74=$C7)*Fixture_Grupos!$H$3:$H$74)</f>
        <v/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/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/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/>
      </c>
      <c r="H7" s="11">
        <f>SUMPRODUCT((Fixture_Grupos!$D$3:$D$74=$C7)*Fixture_Grupos!$H$3:$H$74*Fixture_Grupos!$F$3:$F$74)+SUMPRODUCT((Fixture_Grupos!$E$3:$E$74=$C7)*Fixture_Grupos!$H$3:$H$74*Fixture_Grupos!$G$3:$G$74)</f>
        <v/>
      </c>
      <c r="I7" s="11">
        <f>SUMPRODUCT((Fixture_Grupos!$D$3:$D$74=$C7)*Fixture_Grupos!$H$3:$H$74*Fixture_Grupos!$G$3:$G$74)+SUMPRODUCT((Fixture_Grupos!$E$3:$E$74=$C7)*Fixture_Grupos!$H$3:$H$74*Fixture_Grupos!$F$3:$F$74)</f>
        <v/>
      </c>
      <c r="J7" s="11">
        <f>H7-I7</f>
        <v/>
      </c>
      <c r="K7" s="11">
        <f>3*E7+F7</f>
        <v/>
      </c>
      <c r="L7" s="11">
        <f>SUMPRODUCT(--(($K$7:$K$10*1000+$J$7:$J$10*10+$H$7:$H$10)&gt;($K7*1000+$J7*10+$H7)))+1</f>
        <v/>
      </c>
    </row>
    <row r="8" ht="15" customHeight="1" s="33">
      <c r="A8" s="11" t="inlineStr">
        <is>
          <t>B</t>
        </is>
      </c>
      <c r="B8" s="11" t="n">
        <v>2</v>
      </c>
      <c r="C8" s="30" t="inlineStr">
        <is>
          <t>Bosnia y Herzegovina</t>
        </is>
      </c>
      <c r="D8" s="11">
        <f>SUMPRODUCT((Fixture_Grupos!$D$3:$D$74=$C8)*Fixture_Grupos!$H$3:$H$74)+SUMPRODUCT((Fixture_Grupos!$E$3:$E$74=$C8)*Fixture_Grupos!$H$3:$H$74)</f>
        <v/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/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/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/>
      </c>
      <c r="H8" s="11">
        <f>SUMPRODUCT((Fixture_Grupos!$D$3:$D$74=$C8)*Fixture_Grupos!$H$3:$H$74*Fixture_Grupos!$F$3:$F$74)+SUMPRODUCT((Fixture_Grupos!$E$3:$E$74=$C8)*Fixture_Grupos!$H$3:$H$74*Fixture_Grupos!$G$3:$G$74)</f>
        <v/>
      </c>
      <c r="I8" s="11">
        <f>SUMPRODUCT((Fixture_Grupos!$D$3:$D$74=$C8)*Fixture_Grupos!$H$3:$H$74*Fixture_Grupos!$G$3:$G$74)+SUMPRODUCT((Fixture_Grupos!$E$3:$E$74=$C8)*Fixture_Grupos!$H$3:$H$74*Fixture_Grupos!$F$3:$F$74)</f>
        <v/>
      </c>
      <c r="J8" s="11">
        <f>H8-I8</f>
        <v/>
      </c>
      <c r="K8" s="11">
        <f>3*E8+F8</f>
        <v/>
      </c>
      <c r="L8" s="11">
        <f>SUMPRODUCT(--(($K$7:$K$10*1000+$J$7:$J$10*10+$H$7:$H$10)&gt;($K8*1000+$J8*10+$H8)))+1</f>
        <v/>
      </c>
    </row>
    <row r="9" ht="15" customHeight="1" s="33">
      <c r="A9" s="11" t="inlineStr">
        <is>
          <t>B</t>
        </is>
      </c>
      <c r="B9" s="11" t="n">
        <v>3</v>
      </c>
      <c r="C9" s="30" t="inlineStr">
        <is>
          <t>Catar</t>
        </is>
      </c>
      <c r="D9" s="11">
        <f>SUMPRODUCT((Fixture_Grupos!$D$3:$D$74=$C9)*Fixture_Grupos!$H$3:$H$74)+SUMPRODUCT((Fixture_Grupos!$E$3:$E$74=$C9)*Fixture_Grupos!$H$3:$H$74)</f>
        <v/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/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/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/>
      </c>
      <c r="H9" s="11">
        <f>SUMPRODUCT((Fixture_Grupos!$D$3:$D$74=$C9)*Fixture_Grupos!$H$3:$H$74*Fixture_Grupos!$F$3:$F$74)+SUMPRODUCT((Fixture_Grupos!$E$3:$E$74=$C9)*Fixture_Grupos!$H$3:$H$74*Fixture_Grupos!$G$3:$G$74)</f>
        <v/>
      </c>
      <c r="I9" s="11">
        <f>SUMPRODUCT((Fixture_Grupos!$D$3:$D$74=$C9)*Fixture_Grupos!$H$3:$H$74*Fixture_Grupos!$G$3:$G$74)+SUMPRODUCT((Fixture_Grupos!$E$3:$E$74=$C9)*Fixture_Grupos!$H$3:$H$74*Fixture_Grupos!$F$3:$F$74)</f>
        <v/>
      </c>
      <c r="J9" s="11">
        <f>H9-I9</f>
        <v/>
      </c>
      <c r="K9" s="11">
        <f>3*E9+F9</f>
        <v/>
      </c>
      <c r="L9" s="11">
        <f>SUMPRODUCT(--(($K$7:$K$10*1000+$J$7:$J$10*10+$H$7:$H$10)&gt;($K9*1000+$J9*10+$H9)))+1</f>
        <v/>
      </c>
    </row>
    <row r="10" ht="15" customHeight="1" s="33">
      <c r="A10" s="11" t="inlineStr">
        <is>
          <t>B</t>
        </is>
      </c>
      <c r="B10" s="11" t="n">
        <v>4</v>
      </c>
      <c r="C10" s="30" t="inlineStr">
        <is>
          <t>Suiza</t>
        </is>
      </c>
      <c r="D10" s="11">
        <f>SUMPRODUCT((Fixture_Grupos!$D$3:$D$74=$C10)*Fixture_Grupos!$H$3:$H$74)+SUMPRODUCT((Fixture_Grupos!$E$3:$E$74=$C10)*Fixture_Grupos!$H$3:$H$74)</f>
        <v/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/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/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/>
      </c>
      <c r="H10" s="11">
        <f>SUMPRODUCT((Fixture_Grupos!$D$3:$D$74=$C10)*Fixture_Grupos!$H$3:$H$74*Fixture_Grupos!$F$3:$F$74)+SUMPRODUCT((Fixture_Grupos!$E$3:$E$74=$C10)*Fixture_Grupos!$H$3:$H$74*Fixture_Grupos!$G$3:$G$74)</f>
        <v/>
      </c>
      <c r="I10" s="11">
        <f>SUMPRODUCT((Fixture_Grupos!$D$3:$D$74=$C10)*Fixture_Grupos!$H$3:$H$74*Fixture_Grupos!$G$3:$G$74)+SUMPRODUCT((Fixture_Grupos!$E$3:$E$74=$C10)*Fixture_Grupos!$H$3:$H$74*Fixture_Grupos!$F$3:$F$74)</f>
        <v/>
      </c>
      <c r="J10" s="11">
        <f>H10-I10</f>
        <v/>
      </c>
      <c r="K10" s="11">
        <f>3*E10+F10</f>
        <v/>
      </c>
      <c r="L10" s="11">
        <f>SUMPRODUCT(--(($K$7:$K$10*1000+$J$7:$J$10*10+$H$7:$H$10)&gt;($K10*1000+$J10*10+$H10)))+1</f>
        <v/>
      </c>
    </row>
    <row r="11" ht="15" customHeight="1" s="33">
      <c r="A11" s="8" t="inlineStr">
        <is>
          <t>C</t>
        </is>
      </c>
      <c r="B11" s="8" t="n">
        <v>1</v>
      </c>
      <c r="C11" s="29" t="inlineStr">
        <is>
          <t>Brasil</t>
        </is>
      </c>
      <c r="D11" s="8">
        <f>SUMPRODUCT((Fixture_Grupos!$D$3:$D$74=$C11)*Fixture_Grupos!$H$3:$H$74)+SUMPRODUCT((Fixture_Grupos!$E$3:$E$74=$C11)*Fixture_Grupos!$H$3:$H$74)</f>
        <v/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/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/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/>
      </c>
      <c r="H11" s="8">
        <f>SUMPRODUCT((Fixture_Grupos!$D$3:$D$74=$C11)*Fixture_Grupos!$H$3:$H$74*Fixture_Grupos!$F$3:$F$74)+SUMPRODUCT((Fixture_Grupos!$E$3:$E$74=$C11)*Fixture_Grupos!$H$3:$H$74*Fixture_Grupos!$G$3:$G$74)</f>
        <v/>
      </c>
      <c r="I11" s="8">
        <f>SUMPRODUCT((Fixture_Grupos!$D$3:$D$74=$C11)*Fixture_Grupos!$H$3:$H$74*Fixture_Grupos!$G$3:$G$74)+SUMPRODUCT((Fixture_Grupos!$E$3:$E$74=$C11)*Fixture_Grupos!$H$3:$H$74*Fixture_Grupos!$F$3:$F$74)</f>
        <v/>
      </c>
      <c r="J11" s="8">
        <f>H11-I11</f>
        <v/>
      </c>
      <c r="K11" s="8">
        <f>3*E11+F11</f>
        <v/>
      </c>
      <c r="L11" s="8">
        <f>SUMPRODUCT(--(($K$11:$K$14*1000+$J$11:$J$14*10+$H$11:$H$14)&gt;($K11*1000+$J11*10+$H11)))+1</f>
        <v/>
      </c>
    </row>
    <row r="12" ht="15" customHeight="1" s="33">
      <c r="A12" s="8" t="inlineStr">
        <is>
          <t>C</t>
        </is>
      </c>
      <c r="B12" s="8" t="n">
        <v>2</v>
      </c>
      <c r="C12" s="29" t="inlineStr">
        <is>
          <t>Marruecos</t>
        </is>
      </c>
      <c r="D12" s="8">
        <f>SUMPRODUCT((Fixture_Grupos!$D$3:$D$74=$C12)*Fixture_Grupos!$H$3:$H$74)+SUMPRODUCT((Fixture_Grupos!$E$3:$E$74=$C12)*Fixture_Grupos!$H$3:$H$74)</f>
        <v/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/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/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/>
      </c>
      <c r="H12" s="8">
        <f>SUMPRODUCT((Fixture_Grupos!$D$3:$D$74=$C12)*Fixture_Grupos!$H$3:$H$74*Fixture_Grupos!$F$3:$F$74)+SUMPRODUCT((Fixture_Grupos!$E$3:$E$74=$C12)*Fixture_Grupos!$H$3:$H$74*Fixture_Grupos!$G$3:$G$74)</f>
        <v/>
      </c>
      <c r="I12" s="8">
        <f>SUMPRODUCT((Fixture_Grupos!$D$3:$D$74=$C12)*Fixture_Grupos!$H$3:$H$74*Fixture_Grupos!$G$3:$G$74)+SUMPRODUCT((Fixture_Grupos!$E$3:$E$74=$C12)*Fixture_Grupos!$H$3:$H$74*Fixture_Grupos!$F$3:$F$74)</f>
        <v/>
      </c>
      <c r="J12" s="8">
        <f>H12-I12</f>
        <v/>
      </c>
      <c r="K12" s="8">
        <f>3*E12+F12</f>
        <v/>
      </c>
      <c r="L12" s="8">
        <f>SUMPRODUCT(--(($K$11:$K$14*1000+$J$11:$J$14*10+$H$11:$H$14)&gt;($K12*1000+$J12*10+$H12)))+1</f>
        <v/>
      </c>
    </row>
    <row r="13" ht="15" customHeight="1" s="33">
      <c r="A13" s="8" t="inlineStr">
        <is>
          <t>C</t>
        </is>
      </c>
      <c r="B13" s="8" t="n">
        <v>3</v>
      </c>
      <c r="C13" s="29" t="inlineStr">
        <is>
          <t>Haití</t>
        </is>
      </c>
      <c r="D13" s="8">
        <f>SUMPRODUCT((Fixture_Grupos!$D$3:$D$74=$C13)*Fixture_Grupos!$H$3:$H$74)+SUMPRODUCT((Fixture_Grupos!$E$3:$E$74=$C13)*Fixture_Grupos!$H$3:$H$74)</f>
        <v/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/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/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/>
      </c>
      <c r="H13" s="8">
        <f>SUMPRODUCT((Fixture_Grupos!$D$3:$D$74=$C13)*Fixture_Grupos!$H$3:$H$74*Fixture_Grupos!$F$3:$F$74)+SUMPRODUCT((Fixture_Grupos!$E$3:$E$74=$C13)*Fixture_Grupos!$H$3:$H$74*Fixture_Grupos!$G$3:$G$74)</f>
        <v/>
      </c>
      <c r="I13" s="8">
        <f>SUMPRODUCT((Fixture_Grupos!$D$3:$D$74=$C13)*Fixture_Grupos!$H$3:$H$74*Fixture_Grupos!$G$3:$G$74)+SUMPRODUCT((Fixture_Grupos!$E$3:$E$74=$C13)*Fixture_Grupos!$H$3:$H$74*Fixture_Grupos!$F$3:$F$74)</f>
        <v/>
      </c>
      <c r="J13" s="8">
        <f>H13-I13</f>
        <v/>
      </c>
      <c r="K13" s="8">
        <f>3*E13+F13</f>
        <v/>
      </c>
      <c r="L13" s="8">
        <f>SUMPRODUCT(--(($K$11:$K$14*1000+$J$11:$J$14*10+$H$11:$H$14)&gt;($K13*1000+$J13*10+$H13)))+1</f>
        <v/>
      </c>
    </row>
    <row r="14" ht="15" customHeight="1" s="33">
      <c r="A14" s="8" t="inlineStr">
        <is>
          <t>C</t>
        </is>
      </c>
      <c r="B14" s="8" t="n">
        <v>4</v>
      </c>
      <c r="C14" s="29" t="inlineStr">
        <is>
          <t>Escocia</t>
        </is>
      </c>
      <c r="D14" s="8">
        <f>SUMPRODUCT((Fixture_Grupos!$D$3:$D$74=$C14)*Fixture_Grupos!$H$3:$H$74)+SUMPRODUCT((Fixture_Grupos!$E$3:$E$74=$C14)*Fixture_Grupos!$H$3:$H$74)</f>
        <v/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/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/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/>
      </c>
      <c r="H14" s="8">
        <f>SUMPRODUCT((Fixture_Grupos!$D$3:$D$74=$C14)*Fixture_Grupos!$H$3:$H$74*Fixture_Grupos!$F$3:$F$74)+SUMPRODUCT((Fixture_Grupos!$E$3:$E$74=$C14)*Fixture_Grupos!$H$3:$H$74*Fixture_Grupos!$G$3:$G$74)</f>
        <v/>
      </c>
      <c r="I14" s="8">
        <f>SUMPRODUCT((Fixture_Grupos!$D$3:$D$74=$C14)*Fixture_Grupos!$H$3:$H$74*Fixture_Grupos!$G$3:$G$74)+SUMPRODUCT((Fixture_Grupos!$E$3:$E$74=$C14)*Fixture_Grupos!$H$3:$H$74*Fixture_Grupos!$F$3:$F$74)</f>
        <v/>
      </c>
      <c r="J14" s="8">
        <f>H14-I14</f>
        <v/>
      </c>
      <c r="K14" s="8">
        <f>3*E14+F14</f>
        <v/>
      </c>
      <c r="L14" s="8">
        <f>SUMPRODUCT(--(($K$11:$K$14*1000+$J$11:$J$14*10+$H$11:$H$14)&gt;($K14*1000+$J14*10+$H14)))+1</f>
        <v/>
      </c>
    </row>
    <row r="15" ht="15" customHeight="1" s="33">
      <c r="A15" s="11" t="inlineStr">
        <is>
          <t>D</t>
        </is>
      </c>
      <c r="B15" s="11" t="n">
        <v>1</v>
      </c>
      <c r="C15" s="30" t="inlineStr">
        <is>
          <t>Estados Unidos</t>
        </is>
      </c>
      <c r="D15" s="11">
        <f>SUMPRODUCT((Fixture_Grupos!$D$3:$D$74=$C15)*Fixture_Grupos!$H$3:$H$74)+SUMPRODUCT((Fixture_Grupos!$E$3:$E$74=$C15)*Fixture_Grupos!$H$3:$H$74)</f>
        <v/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/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/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/>
      </c>
      <c r="H15" s="11">
        <f>SUMPRODUCT((Fixture_Grupos!$D$3:$D$74=$C15)*Fixture_Grupos!$H$3:$H$74*Fixture_Grupos!$F$3:$F$74)+SUMPRODUCT((Fixture_Grupos!$E$3:$E$74=$C15)*Fixture_Grupos!$H$3:$H$74*Fixture_Grupos!$G$3:$G$74)</f>
        <v/>
      </c>
      <c r="I15" s="11">
        <f>SUMPRODUCT((Fixture_Grupos!$D$3:$D$74=$C15)*Fixture_Grupos!$H$3:$H$74*Fixture_Grupos!$G$3:$G$74)+SUMPRODUCT((Fixture_Grupos!$E$3:$E$74=$C15)*Fixture_Grupos!$H$3:$H$74*Fixture_Grupos!$F$3:$F$74)</f>
        <v/>
      </c>
      <c r="J15" s="11">
        <f>H15-I15</f>
        <v/>
      </c>
      <c r="K15" s="11">
        <f>3*E15+F15</f>
        <v/>
      </c>
      <c r="L15" s="11">
        <f>SUMPRODUCT(--(($K$15:$K$18*1000+$J$15:$J$18*10+$H$15:$H$18)&gt;($K15*1000+$J15*10+$H15)))+1</f>
        <v/>
      </c>
    </row>
    <row r="16" ht="15" customHeight="1" s="33">
      <c r="A16" s="11" t="inlineStr">
        <is>
          <t>D</t>
        </is>
      </c>
      <c r="B16" s="11" t="n">
        <v>2</v>
      </c>
      <c r="C16" s="30" t="inlineStr">
        <is>
          <t>Paraguay</t>
        </is>
      </c>
      <c r="D16" s="11">
        <f>SUMPRODUCT((Fixture_Grupos!$D$3:$D$74=$C16)*Fixture_Grupos!$H$3:$H$74)+SUMPRODUCT((Fixture_Grupos!$E$3:$E$74=$C16)*Fixture_Grupos!$H$3:$H$74)</f>
        <v/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/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/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/>
      </c>
      <c r="H16" s="11">
        <f>SUMPRODUCT((Fixture_Grupos!$D$3:$D$74=$C16)*Fixture_Grupos!$H$3:$H$74*Fixture_Grupos!$F$3:$F$74)+SUMPRODUCT((Fixture_Grupos!$E$3:$E$74=$C16)*Fixture_Grupos!$H$3:$H$74*Fixture_Grupos!$G$3:$G$74)</f>
        <v/>
      </c>
      <c r="I16" s="11">
        <f>SUMPRODUCT((Fixture_Grupos!$D$3:$D$74=$C16)*Fixture_Grupos!$H$3:$H$74*Fixture_Grupos!$G$3:$G$74)+SUMPRODUCT((Fixture_Grupos!$E$3:$E$74=$C16)*Fixture_Grupos!$H$3:$H$74*Fixture_Grupos!$F$3:$F$74)</f>
        <v/>
      </c>
      <c r="J16" s="11">
        <f>H16-I16</f>
        <v/>
      </c>
      <c r="K16" s="11">
        <f>3*E16+F16</f>
        <v/>
      </c>
      <c r="L16" s="11">
        <f>SUMPRODUCT(--(($K$15:$K$18*1000+$J$15:$J$18*10+$H$15:$H$18)&gt;($K16*1000+$J16*10+$H16)))+1</f>
        <v/>
      </c>
    </row>
    <row r="17" ht="15" customHeight="1" s="33">
      <c r="A17" s="11" t="inlineStr">
        <is>
          <t>D</t>
        </is>
      </c>
      <c r="B17" s="11" t="n">
        <v>3</v>
      </c>
      <c r="C17" s="30" t="inlineStr">
        <is>
          <t>Australia</t>
        </is>
      </c>
      <c r="D17" s="11">
        <f>SUMPRODUCT((Fixture_Grupos!$D$3:$D$74=$C17)*Fixture_Grupos!$H$3:$H$74)+SUMPRODUCT((Fixture_Grupos!$E$3:$E$74=$C17)*Fixture_Grupos!$H$3:$H$74)</f>
        <v/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/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/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/>
      </c>
      <c r="H17" s="11">
        <f>SUMPRODUCT((Fixture_Grupos!$D$3:$D$74=$C17)*Fixture_Grupos!$H$3:$H$74*Fixture_Grupos!$F$3:$F$74)+SUMPRODUCT((Fixture_Grupos!$E$3:$E$74=$C17)*Fixture_Grupos!$H$3:$H$74*Fixture_Grupos!$G$3:$G$74)</f>
        <v/>
      </c>
      <c r="I17" s="11">
        <f>SUMPRODUCT((Fixture_Grupos!$D$3:$D$74=$C17)*Fixture_Grupos!$H$3:$H$74*Fixture_Grupos!$G$3:$G$74)+SUMPRODUCT((Fixture_Grupos!$E$3:$E$74=$C17)*Fixture_Grupos!$H$3:$H$74*Fixture_Grupos!$F$3:$F$74)</f>
        <v/>
      </c>
      <c r="J17" s="11">
        <f>H17-I17</f>
        <v/>
      </c>
      <c r="K17" s="11">
        <f>3*E17+F17</f>
        <v/>
      </c>
      <c r="L17" s="11">
        <f>SUMPRODUCT(--(($K$15:$K$18*1000+$J$15:$J$18*10+$H$15:$H$18)&gt;($K17*1000+$J17*10+$H17)))+1</f>
        <v/>
      </c>
    </row>
    <row r="18" ht="15" customHeight="1" s="33">
      <c r="A18" s="11" t="inlineStr">
        <is>
          <t>D</t>
        </is>
      </c>
      <c r="B18" s="11" t="n">
        <v>4</v>
      </c>
      <c r="C18" s="30" t="inlineStr">
        <is>
          <t>Turquía</t>
        </is>
      </c>
      <c r="D18" s="11">
        <f>SUMPRODUCT((Fixture_Grupos!$D$3:$D$74=$C18)*Fixture_Grupos!$H$3:$H$74)+SUMPRODUCT((Fixture_Grupos!$E$3:$E$74=$C18)*Fixture_Grupos!$H$3:$H$74)</f>
        <v/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/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/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/>
      </c>
      <c r="H18" s="11">
        <f>SUMPRODUCT((Fixture_Grupos!$D$3:$D$74=$C18)*Fixture_Grupos!$H$3:$H$74*Fixture_Grupos!$F$3:$F$74)+SUMPRODUCT((Fixture_Grupos!$E$3:$E$74=$C18)*Fixture_Grupos!$H$3:$H$74*Fixture_Grupos!$G$3:$G$74)</f>
        <v/>
      </c>
      <c r="I18" s="11">
        <f>SUMPRODUCT((Fixture_Grupos!$D$3:$D$74=$C18)*Fixture_Grupos!$H$3:$H$74*Fixture_Grupos!$G$3:$G$74)+SUMPRODUCT((Fixture_Grupos!$E$3:$E$74=$C18)*Fixture_Grupos!$H$3:$H$74*Fixture_Grupos!$F$3:$F$74)</f>
        <v/>
      </c>
      <c r="J18" s="11">
        <f>H18-I18</f>
        <v/>
      </c>
      <c r="K18" s="11">
        <f>3*E18+F18</f>
        <v/>
      </c>
      <c r="L18" s="11">
        <f>SUMPRODUCT(--(($K$15:$K$18*1000+$J$15:$J$18*10+$H$15:$H$18)&gt;($K18*1000+$J18*10+$H18)))+1</f>
        <v/>
      </c>
    </row>
    <row r="19" ht="15" customHeight="1" s="33">
      <c r="A19" s="8" t="inlineStr">
        <is>
          <t>E</t>
        </is>
      </c>
      <c r="B19" s="8" t="n">
        <v>1</v>
      </c>
      <c r="C19" s="29" t="inlineStr">
        <is>
          <t>Alemania</t>
        </is>
      </c>
      <c r="D19" s="8">
        <f>SUMPRODUCT((Fixture_Grupos!$D$3:$D$74=$C19)*Fixture_Grupos!$H$3:$H$74)+SUMPRODUCT((Fixture_Grupos!$E$3:$E$74=$C19)*Fixture_Grupos!$H$3:$H$74)</f>
        <v/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/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/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/>
      </c>
      <c r="H19" s="8">
        <f>SUMPRODUCT((Fixture_Grupos!$D$3:$D$74=$C19)*Fixture_Grupos!$H$3:$H$74*Fixture_Grupos!$F$3:$F$74)+SUMPRODUCT((Fixture_Grupos!$E$3:$E$74=$C19)*Fixture_Grupos!$H$3:$H$74*Fixture_Grupos!$G$3:$G$74)</f>
        <v/>
      </c>
      <c r="I19" s="8">
        <f>SUMPRODUCT((Fixture_Grupos!$D$3:$D$74=$C19)*Fixture_Grupos!$H$3:$H$74*Fixture_Grupos!$G$3:$G$74)+SUMPRODUCT((Fixture_Grupos!$E$3:$E$74=$C19)*Fixture_Grupos!$H$3:$H$74*Fixture_Grupos!$F$3:$F$74)</f>
        <v/>
      </c>
      <c r="J19" s="8">
        <f>H19-I19</f>
        <v/>
      </c>
      <c r="K19" s="8">
        <f>3*E19+F19</f>
        <v/>
      </c>
      <c r="L19" s="8">
        <f>SUMPRODUCT(--(($K$19:$K$22*1000+$J$19:$J$22*10+$H$19:$H$22)&gt;($K19*1000+$J19*10+$H19)))+1</f>
        <v/>
      </c>
    </row>
    <row r="20" ht="15" customHeight="1" s="33">
      <c r="A20" s="8" t="inlineStr">
        <is>
          <t>E</t>
        </is>
      </c>
      <c r="B20" s="8" t="n">
        <v>2</v>
      </c>
      <c r="C20" s="29" t="inlineStr">
        <is>
          <t>Curazao</t>
        </is>
      </c>
      <c r="D20" s="8">
        <f>SUMPRODUCT((Fixture_Grupos!$D$3:$D$74=$C20)*Fixture_Grupos!$H$3:$H$74)+SUMPRODUCT((Fixture_Grupos!$E$3:$E$74=$C20)*Fixture_Grupos!$H$3:$H$74)</f>
        <v/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/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/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/>
      </c>
      <c r="H20" s="8">
        <f>SUMPRODUCT((Fixture_Grupos!$D$3:$D$74=$C20)*Fixture_Grupos!$H$3:$H$74*Fixture_Grupos!$F$3:$F$74)+SUMPRODUCT((Fixture_Grupos!$E$3:$E$74=$C20)*Fixture_Grupos!$H$3:$H$74*Fixture_Grupos!$G$3:$G$74)</f>
        <v/>
      </c>
      <c r="I20" s="8">
        <f>SUMPRODUCT((Fixture_Grupos!$D$3:$D$74=$C20)*Fixture_Grupos!$H$3:$H$74*Fixture_Grupos!$G$3:$G$74)+SUMPRODUCT((Fixture_Grupos!$E$3:$E$74=$C20)*Fixture_Grupos!$H$3:$H$74*Fixture_Grupos!$F$3:$F$74)</f>
        <v/>
      </c>
      <c r="J20" s="8">
        <f>H20-I20</f>
        <v/>
      </c>
      <c r="K20" s="8">
        <f>3*E20+F20</f>
        <v/>
      </c>
      <c r="L20" s="8">
        <f>SUMPRODUCT(--(($K$19:$K$22*1000+$J$19:$J$22*10+$H$19:$H$22)&gt;($K20*1000+$J20*10+$H20)))+1</f>
        <v/>
      </c>
    </row>
    <row r="21" ht="15" customHeight="1" s="33">
      <c r="A21" s="8" t="inlineStr">
        <is>
          <t>E</t>
        </is>
      </c>
      <c r="B21" s="8" t="n">
        <v>3</v>
      </c>
      <c r="C21" s="29" t="inlineStr">
        <is>
          <t>Costa de Marfil</t>
        </is>
      </c>
      <c r="D21" s="8">
        <f>SUMPRODUCT((Fixture_Grupos!$D$3:$D$74=$C21)*Fixture_Grupos!$H$3:$H$74)+SUMPRODUCT((Fixture_Grupos!$E$3:$E$74=$C21)*Fixture_Grupos!$H$3:$H$74)</f>
        <v/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/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/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/>
      </c>
      <c r="H21" s="8">
        <f>SUMPRODUCT((Fixture_Grupos!$D$3:$D$74=$C21)*Fixture_Grupos!$H$3:$H$74*Fixture_Grupos!$F$3:$F$74)+SUMPRODUCT((Fixture_Grupos!$E$3:$E$74=$C21)*Fixture_Grupos!$H$3:$H$74*Fixture_Grupos!$G$3:$G$74)</f>
        <v/>
      </c>
      <c r="I21" s="8">
        <f>SUMPRODUCT((Fixture_Grupos!$D$3:$D$74=$C21)*Fixture_Grupos!$H$3:$H$74*Fixture_Grupos!$G$3:$G$74)+SUMPRODUCT((Fixture_Grupos!$E$3:$E$74=$C21)*Fixture_Grupos!$H$3:$H$74*Fixture_Grupos!$F$3:$F$74)</f>
        <v/>
      </c>
      <c r="J21" s="8">
        <f>H21-I21</f>
        <v/>
      </c>
      <c r="K21" s="8">
        <f>3*E21+F21</f>
        <v/>
      </c>
      <c r="L21" s="8">
        <f>SUMPRODUCT(--(($K$19:$K$22*1000+$J$19:$J$22*10+$H$19:$H$22)&gt;($K21*1000+$J21*10+$H21)))+1</f>
        <v/>
      </c>
    </row>
    <row r="22" ht="15" customHeight="1" s="33">
      <c r="A22" s="8" t="inlineStr">
        <is>
          <t>E</t>
        </is>
      </c>
      <c r="B22" s="8" t="n">
        <v>4</v>
      </c>
      <c r="C22" s="29" t="inlineStr">
        <is>
          <t>Ecuador</t>
        </is>
      </c>
      <c r="D22" s="8">
        <f>SUMPRODUCT((Fixture_Grupos!$D$3:$D$74=$C22)*Fixture_Grupos!$H$3:$H$74)+SUMPRODUCT((Fixture_Grupos!$E$3:$E$74=$C22)*Fixture_Grupos!$H$3:$H$74)</f>
        <v/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/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/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/>
      </c>
      <c r="H22" s="8">
        <f>SUMPRODUCT((Fixture_Grupos!$D$3:$D$74=$C22)*Fixture_Grupos!$H$3:$H$74*Fixture_Grupos!$F$3:$F$74)+SUMPRODUCT((Fixture_Grupos!$E$3:$E$74=$C22)*Fixture_Grupos!$H$3:$H$74*Fixture_Grupos!$G$3:$G$74)</f>
        <v/>
      </c>
      <c r="I22" s="8">
        <f>SUMPRODUCT((Fixture_Grupos!$D$3:$D$74=$C22)*Fixture_Grupos!$H$3:$H$74*Fixture_Grupos!$G$3:$G$74)+SUMPRODUCT((Fixture_Grupos!$E$3:$E$74=$C22)*Fixture_Grupos!$H$3:$H$74*Fixture_Grupos!$F$3:$F$74)</f>
        <v/>
      </c>
      <c r="J22" s="8">
        <f>H22-I22</f>
        <v/>
      </c>
      <c r="K22" s="8">
        <f>3*E22+F22</f>
        <v/>
      </c>
      <c r="L22" s="8">
        <f>SUMPRODUCT(--(($K$19:$K$22*1000+$J$19:$J$22*10+$H$19:$H$22)&gt;($K22*1000+$J22*10+$H22)))+1</f>
        <v/>
      </c>
    </row>
    <row r="23" ht="15" customHeight="1" s="33">
      <c r="A23" s="11" t="inlineStr">
        <is>
          <t>F</t>
        </is>
      </c>
      <c r="B23" s="11" t="n">
        <v>1</v>
      </c>
      <c r="C23" s="30" t="inlineStr">
        <is>
          <t>Países Bajos</t>
        </is>
      </c>
      <c r="D23" s="11">
        <f>SUMPRODUCT((Fixture_Grupos!$D$3:$D$74=$C23)*Fixture_Grupos!$H$3:$H$74)+SUMPRODUCT((Fixture_Grupos!$E$3:$E$74=$C23)*Fixture_Grupos!$H$3:$H$74)</f>
        <v/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/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/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/>
      </c>
      <c r="H23" s="11">
        <f>SUMPRODUCT((Fixture_Grupos!$D$3:$D$74=$C23)*Fixture_Grupos!$H$3:$H$74*Fixture_Grupos!$F$3:$F$74)+SUMPRODUCT((Fixture_Grupos!$E$3:$E$74=$C23)*Fixture_Grupos!$H$3:$H$74*Fixture_Grupos!$G$3:$G$74)</f>
        <v/>
      </c>
      <c r="I23" s="11">
        <f>SUMPRODUCT((Fixture_Grupos!$D$3:$D$74=$C23)*Fixture_Grupos!$H$3:$H$74*Fixture_Grupos!$G$3:$G$74)+SUMPRODUCT((Fixture_Grupos!$E$3:$E$74=$C23)*Fixture_Grupos!$H$3:$H$74*Fixture_Grupos!$F$3:$F$74)</f>
        <v/>
      </c>
      <c r="J23" s="11">
        <f>H23-I23</f>
        <v/>
      </c>
      <c r="K23" s="11">
        <f>3*E23+F23</f>
        <v/>
      </c>
      <c r="L23" s="11">
        <f>SUMPRODUCT(--(($K$23:$K$26*1000+$J$23:$J$26*10+$H$23:$H$26)&gt;($K23*1000+$J23*10+$H23)))+1</f>
        <v/>
      </c>
    </row>
    <row r="24" ht="15" customHeight="1" s="33">
      <c r="A24" s="11" t="inlineStr">
        <is>
          <t>F</t>
        </is>
      </c>
      <c r="B24" s="11" t="n">
        <v>2</v>
      </c>
      <c r="C24" s="30" t="inlineStr">
        <is>
          <t>Japón</t>
        </is>
      </c>
      <c r="D24" s="11">
        <f>SUMPRODUCT((Fixture_Grupos!$D$3:$D$74=$C24)*Fixture_Grupos!$H$3:$H$74)+SUMPRODUCT((Fixture_Grupos!$E$3:$E$74=$C24)*Fixture_Grupos!$H$3:$H$74)</f>
        <v/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/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/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/>
      </c>
      <c r="H24" s="11">
        <f>SUMPRODUCT((Fixture_Grupos!$D$3:$D$74=$C24)*Fixture_Grupos!$H$3:$H$74*Fixture_Grupos!$F$3:$F$74)+SUMPRODUCT((Fixture_Grupos!$E$3:$E$74=$C24)*Fixture_Grupos!$H$3:$H$74*Fixture_Grupos!$G$3:$G$74)</f>
        <v/>
      </c>
      <c r="I24" s="11">
        <f>SUMPRODUCT((Fixture_Grupos!$D$3:$D$74=$C24)*Fixture_Grupos!$H$3:$H$74*Fixture_Grupos!$G$3:$G$74)+SUMPRODUCT((Fixture_Grupos!$E$3:$E$74=$C24)*Fixture_Grupos!$H$3:$H$74*Fixture_Grupos!$F$3:$F$74)</f>
        <v/>
      </c>
      <c r="J24" s="11">
        <f>H24-I24</f>
        <v/>
      </c>
      <c r="K24" s="11">
        <f>3*E24+F24</f>
        <v/>
      </c>
      <c r="L24" s="11">
        <f>SUMPRODUCT(--(($K$23:$K$26*1000+$J$23:$J$26*10+$H$23:$H$26)&gt;($K24*1000+$J24*10+$H24)))+1</f>
        <v/>
      </c>
    </row>
    <row r="25" ht="15" customHeight="1" s="33">
      <c r="A25" s="11" t="inlineStr">
        <is>
          <t>F</t>
        </is>
      </c>
      <c r="B25" s="11" t="n">
        <v>3</v>
      </c>
      <c r="C25" s="30" t="inlineStr">
        <is>
          <t>Suecia</t>
        </is>
      </c>
      <c r="D25" s="11">
        <f>SUMPRODUCT((Fixture_Grupos!$D$3:$D$74=$C25)*Fixture_Grupos!$H$3:$H$74)+SUMPRODUCT((Fixture_Grupos!$E$3:$E$74=$C25)*Fixture_Grupos!$H$3:$H$74)</f>
        <v/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/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/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/>
      </c>
      <c r="H25" s="11">
        <f>SUMPRODUCT((Fixture_Grupos!$D$3:$D$74=$C25)*Fixture_Grupos!$H$3:$H$74*Fixture_Grupos!$F$3:$F$74)+SUMPRODUCT((Fixture_Grupos!$E$3:$E$74=$C25)*Fixture_Grupos!$H$3:$H$74*Fixture_Grupos!$G$3:$G$74)</f>
        <v/>
      </c>
      <c r="I25" s="11">
        <f>SUMPRODUCT((Fixture_Grupos!$D$3:$D$74=$C25)*Fixture_Grupos!$H$3:$H$74*Fixture_Grupos!$G$3:$G$74)+SUMPRODUCT((Fixture_Grupos!$E$3:$E$74=$C25)*Fixture_Grupos!$H$3:$H$74*Fixture_Grupos!$F$3:$F$74)</f>
        <v/>
      </c>
      <c r="J25" s="11">
        <f>H25-I25</f>
        <v/>
      </c>
      <c r="K25" s="11">
        <f>3*E25+F25</f>
        <v/>
      </c>
      <c r="L25" s="11">
        <f>SUMPRODUCT(--(($K$23:$K$26*1000+$J$23:$J$26*10+$H$23:$H$26)&gt;($K25*1000+$J25*10+$H25)))+1</f>
        <v/>
      </c>
    </row>
    <row r="26" ht="15" customHeight="1" s="33">
      <c r="A26" s="11" t="inlineStr">
        <is>
          <t>F</t>
        </is>
      </c>
      <c r="B26" s="11" t="n">
        <v>4</v>
      </c>
      <c r="C26" s="30" t="inlineStr">
        <is>
          <t>Túnez</t>
        </is>
      </c>
      <c r="D26" s="11">
        <f>SUMPRODUCT((Fixture_Grupos!$D$3:$D$74=$C26)*Fixture_Grupos!$H$3:$H$74)+SUMPRODUCT((Fixture_Grupos!$E$3:$E$74=$C26)*Fixture_Grupos!$H$3:$H$74)</f>
        <v/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/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/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/>
      </c>
      <c r="H26" s="11">
        <f>SUMPRODUCT((Fixture_Grupos!$D$3:$D$74=$C26)*Fixture_Grupos!$H$3:$H$74*Fixture_Grupos!$F$3:$F$74)+SUMPRODUCT((Fixture_Grupos!$E$3:$E$74=$C26)*Fixture_Grupos!$H$3:$H$74*Fixture_Grupos!$G$3:$G$74)</f>
        <v/>
      </c>
      <c r="I26" s="11">
        <f>SUMPRODUCT((Fixture_Grupos!$D$3:$D$74=$C26)*Fixture_Grupos!$H$3:$H$74*Fixture_Grupos!$G$3:$G$74)+SUMPRODUCT((Fixture_Grupos!$E$3:$E$74=$C26)*Fixture_Grupos!$H$3:$H$74*Fixture_Grupos!$F$3:$F$74)</f>
        <v/>
      </c>
      <c r="J26" s="11">
        <f>H26-I26</f>
        <v/>
      </c>
      <c r="K26" s="11">
        <f>3*E26+F26</f>
        <v/>
      </c>
      <c r="L26" s="11">
        <f>SUMPRODUCT(--(($K$23:$K$26*1000+$J$23:$J$26*10+$H$23:$H$26)&gt;($K26*1000+$J26*10+$H26)))+1</f>
        <v/>
      </c>
    </row>
    <row r="27" ht="15" customHeight="1" s="33">
      <c r="A27" s="8" t="inlineStr">
        <is>
          <t>G</t>
        </is>
      </c>
      <c r="B27" s="8" t="n">
        <v>1</v>
      </c>
      <c r="C27" s="29" t="inlineStr">
        <is>
          <t>Bélgica</t>
        </is>
      </c>
      <c r="D27" s="8">
        <f>SUMPRODUCT((Fixture_Grupos!$D$3:$D$74=$C27)*Fixture_Grupos!$H$3:$H$74)+SUMPRODUCT((Fixture_Grupos!$E$3:$E$74=$C27)*Fixture_Grupos!$H$3:$H$74)</f>
        <v/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/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/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/>
      </c>
      <c r="H27" s="8">
        <f>SUMPRODUCT((Fixture_Grupos!$D$3:$D$74=$C27)*Fixture_Grupos!$H$3:$H$74*Fixture_Grupos!$F$3:$F$74)+SUMPRODUCT((Fixture_Grupos!$E$3:$E$74=$C27)*Fixture_Grupos!$H$3:$H$74*Fixture_Grupos!$G$3:$G$74)</f>
        <v/>
      </c>
      <c r="I27" s="8">
        <f>SUMPRODUCT((Fixture_Grupos!$D$3:$D$74=$C27)*Fixture_Grupos!$H$3:$H$74*Fixture_Grupos!$G$3:$G$74)+SUMPRODUCT((Fixture_Grupos!$E$3:$E$74=$C27)*Fixture_Grupos!$H$3:$H$74*Fixture_Grupos!$F$3:$F$74)</f>
        <v/>
      </c>
      <c r="J27" s="8">
        <f>H27-I27</f>
        <v/>
      </c>
      <c r="K27" s="8">
        <f>3*E27+F27</f>
        <v/>
      </c>
      <c r="L27" s="8">
        <f>SUMPRODUCT(--(($K$27:$K$30*1000+$J$27:$J$30*10+$H$27:$H$30)&gt;($K27*1000+$J27*10+$H27)))+1</f>
        <v/>
      </c>
    </row>
    <row r="28" ht="15" customHeight="1" s="33">
      <c r="A28" s="8" t="inlineStr">
        <is>
          <t>G</t>
        </is>
      </c>
      <c r="B28" s="8" t="n">
        <v>2</v>
      </c>
      <c r="C28" s="29" t="inlineStr">
        <is>
          <t>Egipto</t>
        </is>
      </c>
      <c r="D28" s="8">
        <f>SUMPRODUCT((Fixture_Grupos!$D$3:$D$74=$C28)*Fixture_Grupos!$H$3:$H$74)+SUMPRODUCT((Fixture_Grupos!$E$3:$E$74=$C28)*Fixture_Grupos!$H$3:$H$74)</f>
        <v/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/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/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/>
      </c>
      <c r="H28" s="8">
        <f>SUMPRODUCT((Fixture_Grupos!$D$3:$D$74=$C28)*Fixture_Grupos!$H$3:$H$74*Fixture_Grupos!$F$3:$F$74)+SUMPRODUCT((Fixture_Grupos!$E$3:$E$74=$C28)*Fixture_Grupos!$H$3:$H$74*Fixture_Grupos!$G$3:$G$74)</f>
        <v/>
      </c>
      <c r="I28" s="8">
        <f>SUMPRODUCT((Fixture_Grupos!$D$3:$D$74=$C28)*Fixture_Grupos!$H$3:$H$74*Fixture_Grupos!$G$3:$G$74)+SUMPRODUCT((Fixture_Grupos!$E$3:$E$74=$C28)*Fixture_Grupos!$H$3:$H$74*Fixture_Grupos!$F$3:$F$74)</f>
        <v/>
      </c>
      <c r="J28" s="8">
        <f>H28-I28</f>
        <v/>
      </c>
      <c r="K28" s="8">
        <f>3*E28+F28</f>
        <v/>
      </c>
      <c r="L28" s="8">
        <f>SUMPRODUCT(--(($K$27:$K$30*1000+$J$27:$J$30*10+$H$27:$H$30)&gt;($K28*1000+$J28*10+$H28)))+1</f>
        <v/>
      </c>
    </row>
    <row r="29" ht="15" customHeight="1" s="33">
      <c r="A29" s="8" t="inlineStr">
        <is>
          <t>G</t>
        </is>
      </c>
      <c r="B29" s="8" t="n">
        <v>3</v>
      </c>
      <c r="C29" s="29" t="inlineStr">
        <is>
          <t>Irán</t>
        </is>
      </c>
      <c r="D29" s="8">
        <f>SUMPRODUCT((Fixture_Grupos!$D$3:$D$74=$C29)*Fixture_Grupos!$H$3:$H$74)+SUMPRODUCT((Fixture_Grupos!$E$3:$E$74=$C29)*Fixture_Grupos!$H$3:$H$74)</f>
        <v/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/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/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/>
      </c>
      <c r="H29" s="8">
        <f>SUMPRODUCT((Fixture_Grupos!$D$3:$D$74=$C29)*Fixture_Grupos!$H$3:$H$74*Fixture_Grupos!$F$3:$F$74)+SUMPRODUCT((Fixture_Grupos!$E$3:$E$74=$C29)*Fixture_Grupos!$H$3:$H$74*Fixture_Grupos!$G$3:$G$74)</f>
        <v/>
      </c>
      <c r="I29" s="8">
        <f>SUMPRODUCT((Fixture_Grupos!$D$3:$D$74=$C29)*Fixture_Grupos!$H$3:$H$74*Fixture_Grupos!$G$3:$G$74)+SUMPRODUCT((Fixture_Grupos!$E$3:$E$74=$C29)*Fixture_Grupos!$H$3:$H$74*Fixture_Grupos!$F$3:$F$74)</f>
        <v/>
      </c>
      <c r="J29" s="8">
        <f>H29-I29</f>
        <v/>
      </c>
      <c r="K29" s="8">
        <f>3*E29+F29</f>
        <v/>
      </c>
      <c r="L29" s="8">
        <f>SUMPRODUCT(--(($K$27:$K$30*1000+$J$27:$J$30*10+$H$27:$H$30)&gt;($K29*1000+$J29*10+$H29)))+1</f>
        <v/>
      </c>
    </row>
    <row r="30" ht="15" customHeight="1" s="33">
      <c r="A30" s="8" t="inlineStr">
        <is>
          <t>G</t>
        </is>
      </c>
      <c r="B30" s="8" t="n">
        <v>4</v>
      </c>
      <c r="C30" s="29" t="inlineStr">
        <is>
          <t>Nueva Zelanda</t>
        </is>
      </c>
      <c r="D30" s="8">
        <f>SUMPRODUCT((Fixture_Grupos!$D$3:$D$74=$C30)*Fixture_Grupos!$H$3:$H$74)+SUMPRODUCT((Fixture_Grupos!$E$3:$E$74=$C30)*Fixture_Grupos!$H$3:$H$74)</f>
        <v/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/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/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/>
      </c>
      <c r="H30" s="8">
        <f>SUMPRODUCT((Fixture_Grupos!$D$3:$D$74=$C30)*Fixture_Grupos!$H$3:$H$74*Fixture_Grupos!$F$3:$F$74)+SUMPRODUCT((Fixture_Grupos!$E$3:$E$74=$C30)*Fixture_Grupos!$H$3:$H$74*Fixture_Grupos!$G$3:$G$74)</f>
        <v/>
      </c>
      <c r="I30" s="8">
        <f>SUMPRODUCT((Fixture_Grupos!$D$3:$D$74=$C30)*Fixture_Grupos!$H$3:$H$74*Fixture_Grupos!$G$3:$G$74)+SUMPRODUCT((Fixture_Grupos!$E$3:$E$74=$C30)*Fixture_Grupos!$H$3:$H$74*Fixture_Grupos!$F$3:$F$74)</f>
        <v/>
      </c>
      <c r="J30" s="8">
        <f>H30-I30</f>
        <v/>
      </c>
      <c r="K30" s="8">
        <f>3*E30+F30</f>
        <v/>
      </c>
      <c r="L30" s="8">
        <f>SUMPRODUCT(--(($K$27:$K$30*1000+$J$27:$J$30*10+$H$27:$H$30)&gt;($K30*1000+$J30*10+$H30)))+1</f>
        <v/>
      </c>
    </row>
    <row r="31" ht="15" customHeight="1" s="33">
      <c r="A31" s="11" t="inlineStr">
        <is>
          <t>H</t>
        </is>
      </c>
      <c r="B31" s="11" t="n">
        <v>1</v>
      </c>
      <c r="C31" s="30" t="inlineStr">
        <is>
          <t>España</t>
        </is>
      </c>
      <c r="D31" s="11">
        <f>SUMPRODUCT((Fixture_Grupos!$D$3:$D$74=$C31)*Fixture_Grupos!$H$3:$H$74)+SUMPRODUCT((Fixture_Grupos!$E$3:$E$74=$C31)*Fixture_Grupos!$H$3:$H$74)</f>
        <v/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/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/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/>
      </c>
      <c r="H31" s="11">
        <f>SUMPRODUCT((Fixture_Grupos!$D$3:$D$74=$C31)*Fixture_Grupos!$H$3:$H$74*Fixture_Grupos!$F$3:$F$74)+SUMPRODUCT((Fixture_Grupos!$E$3:$E$74=$C31)*Fixture_Grupos!$H$3:$H$74*Fixture_Grupos!$G$3:$G$74)</f>
        <v/>
      </c>
      <c r="I31" s="11">
        <f>SUMPRODUCT((Fixture_Grupos!$D$3:$D$74=$C31)*Fixture_Grupos!$H$3:$H$74*Fixture_Grupos!$G$3:$G$74)+SUMPRODUCT((Fixture_Grupos!$E$3:$E$74=$C31)*Fixture_Grupos!$H$3:$H$74*Fixture_Grupos!$F$3:$F$74)</f>
        <v/>
      </c>
      <c r="J31" s="11">
        <f>H31-I31</f>
        <v/>
      </c>
      <c r="K31" s="11">
        <f>3*E31+F31</f>
        <v/>
      </c>
      <c r="L31" s="11">
        <f>SUMPRODUCT(--(($K$31:$K$34*1000+$J$31:$J$34*10+$H$31:$H$34)&gt;($K31*1000+$J31*10+$H31)))+1</f>
        <v/>
      </c>
    </row>
    <row r="32" ht="15" customHeight="1" s="33">
      <c r="A32" s="11" t="inlineStr">
        <is>
          <t>H</t>
        </is>
      </c>
      <c r="B32" s="11" t="n">
        <v>2</v>
      </c>
      <c r="C32" s="30" t="inlineStr">
        <is>
          <t>Cabo Verde</t>
        </is>
      </c>
      <c r="D32" s="11">
        <f>SUMPRODUCT((Fixture_Grupos!$D$3:$D$74=$C32)*Fixture_Grupos!$H$3:$H$74)+SUMPRODUCT((Fixture_Grupos!$E$3:$E$74=$C32)*Fixture_Grupos!$H$3:$H$74)</f>
        <v/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/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/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/>
      </c>
      <c r="H32" s="11">
        <f>SUMPRODUCT((Fixture_Grupos!$D$3:$D$74=$C32)*Fixture_Grupos!$H$3:$H$74*Fixture_Grupos!$F$3:$F$74)+SUMPRODUCT((Fixture_Grupos!$E$3:$E$74=$C32)*Fixture_Grupos!$H$3:$H$74*Fixture_Grupos!$G$3:$G$74)</f>
        <v/>
      </c>
      <c r="I32" s="11">
        <f>SUMPRODUCT((Fixture_Grupos!$D$3:$D$74=$C32)*Fixture_Grupos!$H$3:$H$74*Fixture_Grupos!$G$3:$G$74)+SUMPRODUCT((Fixture_Grupos!$E$3:$E$74=$C32)*Fixture_Grupos!$H$3:$H$74*Fixture_Grupos!$F$3:$F$74)</f>
        <v/>
      </c>
      <c r="J32" s="11">
        <f>H32-I32</f>
        <v/>
      </c>
      <c r="K32" s="11">
        <f>3*E32+F32</f>
        <v/>
      </c>
      <c r="L32" s="11">
        <f>SUMPRODUCT(--(($K$31:$K$34*1000+$J$31:$J$34*10+$H$31:$H$34)&gt;($K32*1000+$J32*10+$H32)))+1</f>
        <v/>
      </c>
    </row>
    <row r="33" ht="15" customHeight="1" s="33">
      <c r="A33" s="11" t="inlineStr">
        <is>
          <t>H</t>
        </is>
      </c>
      <c r="B33" s="11" t="n">
        <v>3</v>
      </c>
      <c r="C33" s="30" t="inlineStr">
        <is>
          <t>Arabia Saudita</t>
        </is>
      </c>
      <c r="D33" s="11">
        <f>SUMPRODUCT((Fixture_Grupos!$D$3:$D$74=$C33)*Fixture_Grupos!$H$3:$H$74)+SUMPRODUCT((Fixture_Grupos!$E$3:$E$74=$C33)*Fixture_Grupos!$H$3:$H$74)</f>
        <v/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/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/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/>
      </c>
      <c r="H33" s="11">
        <f>SUMPRODUCT((Fixture_Grupos!$D$3:$D$74=$C33)*Fixture_Grupos!$H$3:$H$74*Fixture_Grupos!$F$3:$F$74)+SUMPRODUCT((Fixture_Grupos!$E$3:$E$74=$C33)*Fixture_Grupos!$H$3:$H$74*Fixture_Grupos!$G$3:$G$74)</f>
        <v/>
      </c>
      <c r="I33" s="11">
        <f>SUMPRODUCT((Fixture_Grupos!$D$3:$D$74=$C33)*Fixture_Grupos!$H$3:$H$74*Fixture_Grupos!$G$3:$G$74)+SUMPRODUCT((Fixture_Grupos!$E$3:$E$74=$C33)*Fixture_Grupos!$H$3:$H$74*Fixture_Grupos!$F$3:$F$74)</f>
        <v/>
      </c>
      <c r="J33" s="11">
        <f>H33-I33</f>
        <v/>
      </c>
      <c r="K33" s="11">
        <f>3*E33+F33</f>
        <v/>
      </c>
      <c r="L33" s="11">
        <f>SUMPRODUCT(--(($K$31:$K$34*1000+$J$31:$J$34*10+$H$31:$H$34)&gt;($K33*1000+$J33*10+$H33)))+1</f>
        <v/>
      </c>
    </row>
    <row r="34" ht="15" customHeight="1" s="33">
      <c r="A34" s="11" t="inlineStr">
        <is>
          <t>H</t>
        </is>
      </c>
      <c r="B34" s="11" t="n">
        <v>4</v>
      </c>
      <c r="C34" s="30" t="inlineStr">
        <is>
          <t>Uruguay</t>
        </is>
      </c>
      <c r="D34" s="11">
        <f>SUMPRODUCT((Fixture_Grupos!$D$3:$D$74=$C34)*Fixture_Grupos!$H$3:$H$74)+SUMPRODUCT((Fixture_Grupos!$E$3:$E$74=$C34)*Fixture_Grupos!$H$3:$H$74)</f>
        <v/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/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/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/>
      </c>
      <c r="H34" s="11">
        <f>SUMPRODUCT((Fixture_Grupos!$D$3:$D$74=$C34)*Fixture_Grupos!$H$3:$H$74*Fixture_Grupos!$F$3:$F$74)+SUMPRODUCT((Fixture_Grupos!$E$3:$E$74=$C34)*Fixture_Grupos!$H$3:$H$74*Fixture_Grupos!$G$3:$G$74)</f>
        <v/>
      </c>
      <c r="I34" s="11">
        <f>SUMPRODUCT((Fixture_Grupos!$D$3:$D$74=$C34)*Fixture_Grupos!$H$3:$H$74*Fixture_Grupos!$G$3:$G$74)+SUMPRODUCT((Fixture_Grupos!$E$3:$E$74=$C34)*Fixture_Grupos!$H$3:$H$74*Fixture_Grupos!$F$3:$F$74)</f>
        <v/>
      </c>
      <c r="J34" s="11">
        <f>H34-I34</f>
        <v/>
      </c>
      <c r="K34" s="11">
        <f>3*E34+F34</f>
        <v/>
      </c>
      <c r="L34" s="11">
        <f>SUMPRODUCT(--(($K$31:$K$34*1000+$J$31:$J$34*10+$H$31:$H$34)&gt;($K34*1000+$J34*10+$H34)))+1</f>
        <v/>
      </c>
    </row>
    <row r="35" ht="15" customHeight="1" s="33">
      <c r="A35" s="8" t="inlineStr">
        <is>
          <t>I</t>
        </is>
      </c>
      <c r="B35" s="8" t="n">
        <v>1</v>
      </c>
      <c r="C35" s="29" t="inlineStr">
        <is>
          <t>Francia</t>
        </is>
      </c>
      <c r="D35" s="8">
        <f>SUMPRODUCT((Fixture_Grupos!$D$3:$D$74=$C35)*Fixture_Grupos!$H$3:$H$74)+SUMPRODUCT((Fixture_Grupos!$E$3:$E$74=$C35)*Fixture_Grupos!$H$3:$H$74)</f>
        <v/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/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/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/>
      </c>
      <c r="H35" s="8">
        <f>SUMPRODUCT((Fixture_Grupos!$D$3:$D$74=$C35)*Fixture_Grupos!$H$3:$H$74*Fixture_Grupos!$F$3:$F$74)+SUMPRODUCT((Fixture_Grupos!$E$3:$E$74=$C35)*Fixture_Grupos!$H$3:$H$74*Fixture_Grupos!$G$3:$G$74)</f>
        <v/>
      </c>
      <c r="I35" s="8">
        <f>SUMPRODUCT((Fixture_Grupos!$D$3:$D$74=$C35)*Fixture_Grupos!$H$3:$H$74*Fixture_Grupos!$G$3:$G$74)+SUMPRODUCT((Fixture_Grupos!$E$3:$E$74=$C35)*Fixture_Grupos!$H$3:$H$74*Fixture_Grupos!$F$3:$F$74)</f>
        <v/>
      </c>
      <c r="J35" s="8">
        <f>H35-I35</f>
        <v/>
      </c>
      <c r="K35" s="8">
        <f>3*E35+F35</f>
        <v/>
      </c>
      <c r="L35" s="8">
        <f>SUMPRODUCT(--(($K$35:$K$38*1000+$J$35:$J$38*10+$H$35:$H$38)&gt;($K35*1000+$J35*10+$H35)))+1</f>
        <v/>
      </c>
    </row>
    <row r="36" ht="15" customHeight="1" s="33">
      <c r="A36" s="8" t="inlineStr">
        <is>
          <t>I</t>
        </is>
      </c>
      <c r="B36" s="8" t="n">
        <v>2</v>
      </c>
      <c r="C36" s="29" t="inlineStr">
        <is>
          <t>Senegal</t>
        </is>
      </c>
      <c r="D36" s="8">
        <f>SUMPRODUCT((Fixture_Grupos!$D$3:$D$74=$C36)*Fixture_Grupos!$H$3:$H$74)+SUMPRODUCT((Fixture_Grupos!$E$3:$E$74=$C36)*Fixture_Grupos!$H$3:$H$74)</f>
        <v/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/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/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/>
      </c>
      <c r="H36" s="8">
        <f>SUMPRODUCT((Fixture_Grupos!$D$3:$D$74=$C36)*Fixture_Grupos!$H$3:$H$74*Fixture_Grupos!$F$3:$F$74)+SUMPRODUCT((Fixture_Grupos!$E$3:$E$74=$C36)*Fixture_Grupos!$H$3:$H$74*Fixture_Grupos!$G$3:$G$74)</f>
        <v/>
      </c>
      <c r="I36" s="8">
        <f>SUMPRODUCT((Fixture_Grupos!$D$3:$D$74=$C36)*Fixture_Grupos!$H$3:$H$74*Fixture_Grupos!$G$3:$G$74)+SUMPRODUCT((Fixture_Grupos!$E$3:$E$74=$C36)*Fixture_Grupos!$H$3:$H$74*Fixture_Grupos!$F$3:$F$74)</f>
        <v/>
      </c>
      <c r="J36" s="8">
        <f>H36-I36</f>
        <v/>
      </c>
      <c r="K36" s="8">
        <f>3*E36+F36</f>
        <v/>
      </c>
      <c r="L36" s="8">
        <f>SUMPRODUCT(--(($K$35:$K$38*1000+$J$35:$J$38*10+$H$35:$H$38)&gt;($K36*1000+$J36*10+$H36)))+1</f>
        <v/>
      </c>
    </row>
    <row r="37" ht="15" customHeight="1" s="33">
      <c r="A37" s="8" t="inlineStr">
        <is>
          <t>I</t>
        </is>
      </c>
      <c r="B37" s="8" t="n">
        <v>3</v>
      </c>
      <c r="C37" s="29" t="inlineStr">
        <is>
          <t>Irak</t>
        </is>
      </c>
      <c r="D37" s="8">
        <f>SUMPRODUCT((Fixture_Grupos!$D$3:$D$74=$C37)*Fixture_Grupos!$H$3:$H$74)+SUMPRODUCT((Fixture_Grupos!$E$3:$E$74=$C37)*Fixture_Grupos!$H$3:$H$74)</f>
        <v/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/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/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/>
      </c>
      <c r="H37" s="8">
        <f>SUMPRODUCT((Fixture_Grupos!$D$3:$D$74=$C37)*Fixture_Grupos!$H$3:$H$74*Fixture_Grupos!$F$3:$F$74)+SUMPRODUCT((Fixture_Grupos!$E$3:$E$74=$C37)*Fixture_Grupos!$H$3:$H$74*Fixture_Grupos!$G$3:$G$74)</f>
        <v/>
      </c>
      <c r="I37" s="8">
        <f>SUMPRODUCT((Fixture_Grupos!$D$3:$D$74=$C37)*Fixture_Grupos!$H$3:$H$74*Fixture_Grupos!$G$3:$G$74)+SUMPRODUCT((Fixture_Grupos!$E$3:$E$74=$C37)*Fixture_Grupos!$H$3:$H$74*Fixture_Grupos!$F$3:$F$74)</f>
        <v/>
      </c>
      <c r="J37" s="8">
        <f>H37-I37</f>
        <v/>
      </c>
      <c r="K37" s="8">
        <f>3*E37+F37</f>
        <v/>
      </c>
      <c r="L37" s="8">
        <f>SUMPRODUCT(--(($K$35:$K$38*1000+$J$35:$J$38*10+$H$35:$H$38)&gt;($K37*1000+$J37*10+$H37)))+1</f>
        <v/>
      </c>
    </row>
    <row r="38" ht="15" customHeight="1" s="33">
      <c r="A38" s="8" t="inlineStr">
        <is>
          <t>I</t>
        </is>
      </c>
      <c r="B38" s="8" t="n">
        <v>4</v>
      </c>
      <c r="C38" s="29" t="inlineStr">
        <is>
          <t>Noruega</t>
        </is>
      </c>
      <c r="D38" s="8">
        <f>SUMPRODUCT((Fixture_Grupos!$D$3:$D$74=$C38)*Fixture_Grupos!$H$3:$H$74)+SUMPRODUCT((Fixture_Grupos!$E$3:$E$74=$C38)*Fixture_Grupos!$H$3:$H$74)</f>
        <v/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/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/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/>
      </c>
      <c r="H38" s="8">
        <f>SUMPRODUCT((Fixture_Grupos!$D$3:$D$74=$C38)*Fixture_Grupos!$H$3:$H$74*Fixture_Grupos!$F$3:$F$74)+SUMPRODUCT((Fixture_Grupos!$E$3:$E$74=$C38)*Fixture_Grupos!$H$3:$H$74*Fixture_Grupos!$G$3:$G$74)</f>
        <v/>
      </c>
      <c r="I38" s="8">
        <f>SUMPRODUCT((Fixture_Grupos!$D$3:$D$74=$C38)*Fixture_Grupos!$H$3:$H$74*Fixture_Grupos!$G$3:$G$74)+SUMPRODUCT((Fixture_Grupos!$E$3:$E$74=$C38)*Fixture_Grupos!$H$3:$H$74*Fixture_Grupos!$F$3:$F$74)</f>
        <v/>
      </c>
      <c r="J38" s="8">
        <f>H38-I38</f>
        <v/>
      </c>
      <c r="K38" s="8">
        <f>3*E38+F38</f>
        <v/>
      </c>
      <c r="L38" s="8">
        <f>SUMPRODUCT(--(($K$35:$K$38*1000+$J$35:$J$38*10+$H$35:$H$38)&gt;($K38*1000+$J38*10+$H38)))+1</f>
        <v/>
      </c>
    </row>
    <row r="39" ht="15" customHeight="1" s="33">
      <c r="A39" s="11" t="inlineStr">
        <is>
          <t>J</t>
        </is>
      </c>
      <c r="B39" s="11" t="n">
        <v>1</v>
      </c>
      <c r="C39" s="30" t="inlineStr">
        <is>
          <t>Argentina</t>
        </is>
      </c>
      <c r="D39" s="11">
        <f>SUMPRODUCT((Fixture_Grupos!$D$3:$D$74=$C39)*Fixture_Grupos!$H$3:$H$74)+SUMPRODUCT((Fixture_Grupos!$E$3:$E$74=$C39)*Fixture_Grupos!$H$3:$H$74)</f>
        <v/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/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/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/>
      </c>
      <c r="H39" s="11">
        <f>SUMPRODUCT((Fixture_Grupos!$D$3:$D$74=$C39)*Fixture_Grupos!$H$3:$H$74*Fixture_Grupos!$F$3:$F$74)+SUMPRODUCT((Fixture_Grupos!$E$3:$E$74=$C39)*Fixture_Grupos!$H$3:$H$74*Fixture_Grupos!$G$3:$G$74)</f>
        <v/>
      </c>
      <c r="I39" s="11">
        <f>SUMPRODUCT((Fixture_Grupos!$D$3:$D$74=$C39)*Fixture_Grupos!$H$3:$H$74*Fixture_Grupos!$G$3:$G$74)+SUMPRODUCT((Fixture_Grupos!$E$3:$E$74=$C39)*Fixture_Grupos!$H$3:$H$74*Fixture_Grupos!$F$3:$F$74)</f>
        <v/>
      </c>
      <c r="J39" s="11">
        <f>H39-I39</f>
        <v/>
      </c>
      <c r="K39" s="11">
        <f>3*E39+F39</f>
        <v/>
      </c>
      <c r="L39" s="11">
        <f>SUMPRODUCT(--(($K$39:$K$42*1000+$J$39:$J$42*10+$H$39:$H$42)&gt;($K39*1000+$J39*10+$H39)))+1</f>
        <v/>
      </c>
    </row>
    <row r="40" ht="15" customHeight="1" s="33">
      <c r="A40" s="11" t="inlineStr">
        <is>
          <t>J</t>
        </is>
      </c>
      <c r="B40" s="11" t="n">
        <v>2</v>
      </c>
      <c r="C40" s="30" t="inlineStr">
        <is>
          <t>Argelia</t>
        </is>
      </c>
      <c r="D40" s="11">
        <f>SUMPRODUCT((Fixture_Grupos!$D$3:$D$74=$C40)*Fixture_Grupos!$H$3:$H$74)+SUMPRODUCT((Fixture_Grupos!$E$3:$E$74=$C40)*Fixture_Grupos!$H$3:$H$74)</f>
        <v/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/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/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/>
      </c>
      <c r="H40" s="11">
        <f>SUMPRODUCT((Fixture_Grupos!$D$3:$D$74=$C40)*Fixture_Grupos!$H$3:$H$74*Fixture_Grupos!$F$3:$F$74)+SUMPRODUCT((Fixture_Grupos!$E$3:$E$74=$C40)*Fixture_Grupos!$H$3:$H$74*Fixture_Grupos!$G$3:$G$74)</f>
        <v/>
      </c>
      <c r="I40" s="11">
        <f>SUMPRODUCT((Fixture_Grupos!$D$3:$D$74=$C40)*Fixture_Grupos!$H$3:$H$74*Fixture_Grupos!$G$3:$G$74)+SUMPRODUCT((Fixture_Grupos!$E$3:$E$74=$C40)*Fixture_Grupos!$H$3:$H$74*Fixture_Grupos!$F$3:$F$74)</f>
        <v/>
      </c>
      <c r="J40" s="11">
        <f>H40-I40</f>
        <v/>
      </c>
      <c r="K40" s="11">
        <f>3*E40+F40</f>
        <v/>
      </c>
      <c r="L40" s="11">
        <f>SUMPRODUCT(--(($K$39:$K$42*1000+$J$39:$J$42*10+$H$39:$H$42)&gt;($K40*1000+$J40*10+$H40)))+1</f>
        <v/>
      </c>
    </row>
    <row r="41" ht="15" customHeight="1" s="33">
      <c r="A41" s="11" t="inlineStr">
        <is>
          <t>J</t>
        </is>
      </c>
      <c r="B41" s="11" t="n">
        <v>3</v>
      </c>
      <c r="C41" s="30" t="inlineStr">
        <is>
          <t>Austria</t>
        </is>
      </c>
      <c r="D41" s="11">
        <f>SUMPRODUCT((Fixture_Grupos!$D$3:$D$74=$C41)*Fixture_Grupos!$H$3:$H$74)+SUMPRODUCT((Fixture_Grupos!$E$3:$E$74=$C41)*Fixture_Grupos!$H$3:$H$74)</f>
        <v/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/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/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/>
      </c>
      <c r="H41" s="11">
        <f>SUMPRODUCT((Fixture_Grupos!$D$3:$D$74=$C41)*Fixture_Grupos!$H$3:$H$74*Fixture_Grupos!$F$3:$F$74)+SUMPRODUCT((Fixture_Grupos!$E$3:$E$74=$C41)*Fixture_Grupos!$H$3:$H$74*Fixture_Grupos!$G$3:$G$74)</f>
        <v/>
      </c>
      <c r="I41" s="11">
        <f>SUMPRODUCT((Fixture_Grupos!$D$3:$D$74=$C41)*Fixture_Grupos!$H$3:$H$74*Fixture_Grupos!$G$3:$G$74)+SUMPRODUCT((Fixture_Grupos!$E$3:$E$74=$C41)*Fixture_Grupos!$H$3:$H$74*Fixture_Grupos!$F$3:$F$74)</f>
        <v/>
      </c>
      <c r="J41" s="11">
        <f>H41-I41</f>
        <v/>
      </c>
      <c r="K41" s="11">
        <f>3*E41+F41</f>
        <v/>
      </c>
      <c r="L41" s="11">
        <f>SUMPRODUCT(--(($K$39:$K$42*1000+$J$39:$J$42*10+$H$39:$H$42)&gt;($K41*1000+$J41*10+$H41)))+1</f>
        <v/>
      </c>
    </row>
    <row r="42" ht="15" customHeight="1" s="33">
      <c r="A42" s="11" t="inlineStr">
        <is>
          <t>J</t>
        </is>
      </c>
      <c r="B42" s="11" t="n">
        <v>4</v>
      </c>
      <c r="C42" s="30" t="inlineStr">
        <is>
          <t>Jordania</t>
        </is>
      </c>
      <c r="D42" s="11">
        <f>SUMPRODUCT((Fixture_Grupos!$D$3:$D$74=$C42)*Fixture_Grupos!$H$3:$H$74)+SUMPRODUCT((Fixture_Grupos!$E$3:$E$74=$C42)*Fixture_Grupos!$H$3:$H$74)</f>
        <v/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/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/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/>
      </c>
      <c r="H42" s="11">
        <f>SUMPRODUCT((Fixture_Grupos!$D$3:$D$74=$C42)*Fixture_Grupos!$H$3:$H$74*Fixture_Grupos!$F$3:$F$74)+SUMPRODUCT((Fixture_Grupos!$E$3:$E$74=$C42)*Fixture_Grupos!$H$3:$H$74*Fixture_Grupos!$G$3:$G$74)</f>
        <v/>
      </c>
      <c r="I42" s="11">
        <f>SUMPRODUCT((Fixture_Grupos!$D$3:$D$74=$C42)*Fixture_Grupos!$H$3:$H$74*Fixture_Grupos!$G$3:$G$74)+SUMPRODUCT((Fixture_Grupos!$E$3:$E$74=$C42)*Fixture_Grupos!$H$3:$H$74*Fixture_Grupos!$F$3:$F$74)</f>
        <v/>
      </c>
      <c r="J42" s="11">
        <f>H42-I42</f>
        <v/>
      </c>
      <c r="K42" s="11">
        <f>3*E42+F42</f>
        <v/>
      </c>
      <c r="L42" s="11">
        <f>SUMPRODUCT(--(($K$39:$K$42*1000+$J$39:$J$42*10+$H$39:$H$42)&gt;($K42*1000+$J42*10+$H42)))+1</f>
        <v/>
      </c>
    </row>
    <row r="43" ht="15" customHeight="1" s="33">
      <c r="A43" s="8" t="inlineStr">
        <is>
          <t>K</t>
        </is>
      </c>
      <c r="B43" s="8" t="n">
        <v>1</v>
      </c>
      <c r="C43" s="29" t="inlineStr">
        <is>
          <t>Portugal</t>
        </is>
      </c>
      <c r="D43" s="8">
        <f>SUMPRODUCT((Fixture_Grupos!$D$3:$D$74=$C43)*Fixture_Grupos!$H$3:$H$74)+SUMPRODUCT((Fixture_Grupos!$E$3:$E$74=$C43)*Fixture_Grupos!$H$3:$H$74)</f>
        <v/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/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/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/>
      </c>
      <c r="H43" s="8">
        <f>SUMPRODUCT((Fixture_Grupos!$D$3:$D$74=$C43)*Fixture_Grupos!$H$3:$H$74*Fixture_Grupos!$F$3:$F$74)+SUMPRODUCT((Fixture_Grupos!$E$3:$E$74=$C43)*Fixture_Grupos!$H$3:$H$74*Fixture_Grupos!$G$3:$G$74)</f>
        <v/>
      </c>
      <c r="I43" s="8">
        <f>SUMPRODUCT((Fixture_Grupos!$D$3:$D$74=$C43)*Fixture_Grupos!$H$3:$H$74*Fixture_Grupos!$G$3:$G$74)+SUMPRODUCT((Fixture_Grupos!$E$3:$E$74=$C43)*Fixture_Grupos!$H$3:$H$74*Fixture_Grupos!$F$3:$F$74)</f>
        <v/>
      </c>
      <c r="J43" s="8">
        <f>H43-I43</f>
        <v/>
      </c>
      <c r="K43" s="8">
        <f>3*E43+F43</f>
        <v/>
      </c>
      <c r="L43" s="8">
        <f>SUMPRODUCT(--(($K$43:$K$46*1000+$J$43:$J$46*10+$H$43:$H$46)&gt;($K43*1000+$J43*10+$H43)))+1</f>
        <v/>
      </c>
    </row>
    <row r="44" ht="15" customHeight="1" s="33">
      <c r="A44" s="8" t="inlineStr">
        <is>
          <t>K</t>
        </is>
      </c>
      <c r="B44" s="8" t="n">
        <v>2</v>
      </c>
      <c r="C44" s="29" t="inlineStr">
        <is>
          <t>RD Congo</t>
        </is>
      </c>
      <c r="D44" s="8">
        <f>SUMPRODUCT((Fixture_Grupos!$D$3:$D$74=$C44)*Fixture_Grupos!$H$3:$H$74)+SUMPRODUCT((Fixture_Grupos!$E$3:$E$74=$C44)*Fixture_Grupos!$H$3:$H$74)</f>
        <v/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/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/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/>
      </c>
      <c r="H44" s="8">
        <f>SUMPRODUCT((Fixture_Grupos!$D$3:$D$74=$C44)*Fixture_Grupos!$H$3:$H$74*Fixture_Grupos!$F$3:$F$74)+SUMPRODUCT((Fixture_Grupos!$E$3:$E$74=$C44)*Fixture_Grupos!$H$3:$H$74*Fixture_Grupos!$G$3:$G$74)</f>
        <v/>
      </c>
      <c r="I44" s="8">
        <f>SUMPRODUCT((Fixture_Grupos!$D$3:$D$74=$C44)*Fixture_Grupos!$H$3:$H$74*Fixture_Grupos!$G$3:$G$74)+SUMPRODUCT((Fixture_Grupos!$E$3:$E$74=$C44)*Fixture_Grupos!$H$3:$H$74*Fixture_Grupos!$F$3:$F$74)</f>
        <v/>
      </c>
      <c r="J44" s="8">
        <f>H44-I44</f>
        <v/>
      </c>
      <c r="K44" s="8">
        <f>3*E44+F44</f>
        <v/>
      </c>
      <c r="L44" s="8">
        <f>SUMPRODUCT(--(($K$43:$K$46*1000+$J$43:$J$46*10+$H$43:$H$46)&gt;($K44*1000+$J44*10+$H44)))+1</f>
        <v/>
      </c>
    </row>
    <row r="45" ht="15" customHeight="1" s="33">
      <c r="A45" s="8" t="inlineStr">
        <is>
          <t>K</t>
        </is>
      </c>
      <c r="B45" s="8" t="n">
        <v>3</v>
      </c>
      <c r="C45" s="29" t="inlineStr">
        <is>
          <t>Uzbekistán</t>
        </is>
      </c>
      <c r="D45" s="8">
        <f>SUMPRODUCT((Fixture_Grupos!$D$3:$D$74=$C45)*Fixture_Grupos!$H$3:$H$74)+SUMPRODUCT((Fixture_Grupos!$E$3:$E$74=$C45)*Fixture_Grupos!$H$3:$H$74)</f>
        <v/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/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/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/>
      </c>
      <c r="H45" s="8">
        <f>SUMPRODUCT((Fixture_Grupos!$D$3:$D$74=$C45)*Fixture_Grupos!$H$3:$H$74*Fixture_Grupos!$F$3:$F$74)+SUMPRODUCT((Fixture_Grupos!$E$3:$E$74=$C45)*Fixture_Grupos!$H$3:$H$74*Fixture_Grupos!$G$3:$G$74)</f>
        <v/>
      </c>
      <c r="I45" s="8">
        <f>SUMPRODUCT((Fixture_Grupos!$D$3:$D$74=$C45)*Fixture_Grupos!$H$3:$H$74*Fixture_Grupos!$G$3:$G$74)+SUMPRODUCT((Fixture_Grupos!$E$3:$E$74=$C45)*Fixture_Grupos!$H$3:$H$74*Fixture_Grupos!$F$3:$F$74)</f>
        <v/>
      </c>
      <c r="J45" s="8">
        <f>H45-I45</f>
        <v/>
      </c>
      <c r="K45" s="8">
        <f>3*E45+F45</f>
        <v/>
      </c>
      <c r="L45" s="8">
        <f>SUMPRODUCT(--(($K$43:$K$46*1000+$J$43:$J$46*10+$H$43:$H$46)&gt;($K45*1000+$J45*10+$H45)))+1</f>
        <v/>
      </c>
    </row>
    <row r="46" ht="15" customHeight="1" s="33">
      <c r="A46" s="8" t="inlineStr">
        <is>
          <t>K</t>
        </is>
      </c>
      <c r="B46" s="8" t="n">
        <v>4</v>
      </c>
      <c r="C46" s="29" t="inlineStr">
        <is>
          <t>Colombia</t>
        </is>
      </c>
      <c r="D46" s="8">
        <f>SUMPRODUCT((Fixture_Grupos!$D$3:$D$74=$C46)*Fixture_Grupos!$H$3:$H$74)+SUMPRODUCT((Fixture_Grupos!$E$3:$E$74=$C46)*Fixture_Grupos!$H$3:$H$74)</f>
        <v/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/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/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/>
      </c>
      <c r="H46" s="8">
        <f>SUMPRODUCT((Fixture_Grupos!$D$3:$D$74=$C46)*Fixture_Grupos!$H$3:$H$74*Fixture_Grupos!$F$3:$F$74)+SUMPRODUCT((Fixture_Grupos!$E$3:$E$74=$C46)*Fixture_Grupos!$H$3:$H$74*Fixture_Grupos!$G$3:$G$74)</f>
        <v/>
      </c>
      <c r="I46" s="8">
        <f>SUMPRODUCT((Fixture_Grupos!$D$3:$D$74=$C46)*Fixture_Grupos!$H$3:$H$74*Fixture_Grupos!$G$3:$G$74)+SUMPRODUCT((Fixture_Grupos!$E$3:$E$74=$C46)*Fixture_Grupos!$H$3:$H$74*Fixture_Grupos!$F$3:$F$74)</f>
        <v/>
      </c>
      <c r="J46" s="8">
        <f>H46-I46</f>
        <v/>
      </c>
      <c r="K46" s="8">
        <f>3*E46+F46</f>
        <v/>
      </c>
      <c r="L46" s="8">
        <f>SUMPRODUCT(--(($K$43:$K$46*1000+$J$43:$J$46*10+$H$43:$H$46)&gt;($K46*1000+$J46*10+$H46)))+1</f>
        <v/>
      </c>
    </row>
    <row r="47" ht="15" customHeight="1" s="33">
      <c r="A47" s="11" t="inlineStr">
        <is>
          <t>L</t>
        </is>
      </c>
      <c r="B47" s="11" t="n">
        <v>1</v>
      </c>
      <c r="C47" s="30" t="inlineStr">
        <is>
          <t>Inglaterra</t>
        </is>
      </c>
      <c r="D47" s="11">
        <f>SUMPRODUCT((Fixture_Grupos!$D$3:$D$74=$C47)*Fixture_Grupos!$H$3:$H$74)+SUMPRODUCT((Fixture_Grupos!$E$3:$E$74=$C47)*Fixture_Grupos!$H$3:$H$74)</f>
        <v/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/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/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/>
      </c>
      <c r="H47" s="11">
        <f>SUMPRODUCT((Fixture_Grupos!$D$3:$D$74=$C47)*Fixture_Grupos!$H$3:$H$74*Fixture_Grupos!$F$3:$F$74)+SUMPRODUCT((Fixture_Grupos!$E$3:$E$74=$C47)*Fixture_Grupos!$H$3:$H$74*Fixture_Grupos!$G$3:$G$74)</f>
        <v/>
      </c>
      <c r="I47" s="11">
        <f>SUMPRODUCT((Fixture_Grupos!$D$3:$D$74=$C47)*Fixture_Grupos!$H$3:$H$74*Fixture_Grupos!$G$3:$G$74)+SUMPRODUCT((Fixture_Grupos!$E$3:$E$74=$C47)*Fixture_Grupos!$H$3:$H$74*Fixture_Grupos!$F$3:$F$74)</f>
        <v/>
      </c>
      <c r="J47" s="11">
        <f>H47-I47</f>
        <v/>
      </c>
      <c r="K47" s="11">
        <f>3*E47+F47</f>
        <v/>
      </c>
      <c r="L47" s="11">
        <f>SUMPRODUCT(--(($K$47:$K$50*1000+$J$47:$J$50*10+$H$47:$H$50)&gt;($K47*1000+$J47*10+$H47)))+1</f>
        <v/>
      </c>
    </row>
    <row r="48" ht="15" customHeight="1" s="33">
      <c r="A48" s="11" t="inlineStr">
        <is>
          <t>L</t>
        </is>
      </c>
      <c r="B48" s="11" t="n">
        <v>2</v>
      </c>
      <c r="C48" s="30" t="inlineStr">
        <is>
          <t>Croacia</t>
        </is>
      </c>
      <c r="D48" s="11">
        <f>SUMPRODUCT((Fixture_Grupos!$D$3:$D$74=$C48)*Fixture_Grupos!$H$3:$H$74)+SUMPRODUCT((Fixture_Grupos!$E$3:$E$74=$C48)*Fixture_Grupos!$H$3:$H$74)</f>
        <v/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/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/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/>
      </c>
      <c r="H48" s="11">
        <f>SUMPRODUCT((Fixture_Grupos!$D$3:$D$74=$C48)*Fixture_Grupos!$H$3:$H$74*Fixture_Grupos!$F$3:$F$74)+SUMPRODUCT((Fixture_Grupos!$E$3:$E$74=$C48)*Fixture_Grupos!$H$3:$H$74*Fixture_Grupos!$G$3:$G$74)</f>
        <v/>
      </c>
      <c r="I48" s="11">
        <f>SUMPRODUCT((Fixture_Grupos!$D$3:$D$74=$C48)*Fixture_Grupos!$H$3:$H$74*Fixture_Grupos!$G$3:$G$74)+SUMPRODUCT((Fixture_Grupos!$E$3:$E$74=$C48)*Fixture_Grupos!$H$3:$H$74*Fixture_Grupos!$F$3:$F$74)</f>
        <v/>
      </c>
      <c r="J48" s="11">
        <f>H48-I48</f>
        <v/>
      </c>
      <c r="K48" s="11">
        <f>3*E48+F48</f>
        <v/>
      </c>
      <c r="L48" s="11">
        <f>SUMPRODUCT(--(($K$47:$K$50*1000+$J$47:$J$50*10+$H$47:$H$50)&gt;($K48*1000+$J48*10+$H48)))+1</f>
        <v/>
      </c>
    </row>
    <row r="49" ht="15" customHeight="1" s="33">
      <c r="A49" s="11" t="inlineStr">
        <is>
          <t>L</t>
        </is>
      </c>
      <c r="B49" s="11" t="n">
        <v>3</v>
      </c>
      <c r="C49" s="30" t="inlineStr">
        <is>
          <t>Ghana</t>
        </is>
      </c>
      <c r="D49" s="11">
        <f>SUMPRODUCT((Fixture_Grupos!$D$3:$D$74=$C49)*Fixture_Grupos!$H$3:$H$74)+SUMPRODUCT((Fixture_Grupos!$E$3:$E$74=$C49)*Fixture_Grupos!$H$3:$H$74)</f>
        <v/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/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/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/>
      </c>
      <c r="H49" s="11">
        <f>SUMPRODUCT((Fixture_Grupos!$D$3:$D$74=$C49)*Fixture_Grupos!$H$3:$H$74*Fixture_Grupos!$F$3:$F$74)+SUMPRODUCT((Fixture_Grupos!$E$3:$E$74=$C49)*Fixture_Grupos!$H$3:$H$74*Fixture_Grupos!$G$3:$G$74)</f>
        <v/>
      </c>
      <c r="I49" s="11">
        <f>SUMPRODUCT((Fixture_Grupos!$D$3:$D$74=$C49)*Fixture_Grupos!$H$3:$H$74*Fixture_Grupos!$G$3:$G$74)+SUMPRODUCT((Fixture_Grupos!$E$3:$E$74=$C49)*Fixture_Grupos!$H$3:$H$74*Fixture_Grupos!$F$3:$F$74)</f>
        <v/>
      </c>
      <c r="J49" s="11">
        <f>H49-I49</f>
        <v/>
      </c>
      <c r="K49" s="11">
        <f>3*E49+F49</f>
        <v/>
      </c>
      <c r="L49" s="11">
        <f>SUMPRODUCT(--(($K$47:$K$50*1000+$J$47:$J$50*10+$H$47:$H$50)&gt;($K49*1000+$J49*10+$H49)))+1</f>
        <v/>
      </c>
    </row>
    <row r="50" ht="15" customHeight="1" s="33">
      <c r="A50" s="11" t="inlineStr">
        <is>
          <t>L</t>
        </is>
      </c>
      <c r="B50" s="11" t="n">
        <v>4</v>
      </c>
      <c r="C50" s="30" t="inlineStr">
        <is>
          <t>Panamá</t>
        </is>
      </c>
      <c r="D50" s="11">
        <f>SUMPRODUCT((Fixture_Grupos!$D$3:$D$74=$C50)*Fixture_Grupos!$H$3:$H$74)+SUMPRODUCT((Fixture_Grupos!$E$3:$E$74=$C50)*Fixture_Grupos!$H$3:$H$74)</f>
        <v/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/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/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/>
      </c>
      <c r="H50" s="11">
        <f>SUMPRODUCT((Fixture_Grupos!$D$3:$D$74=$C50)*Fixture_Grupos!$H$3:$H$74*Fixture_Grupos!$F$3:$F$74)+SUMPRODUCT((Fixture_Grupos!$E$3:$E$74=$C50)*Fixture_Grupos!$H$3:$H$74*Fixture_Grupos!$G$3:$G$74)</f>
        <v/>
      </c>
      <c r="I50" s="11">
        <f>SUMPRODUCT((Fixture_Grupos!$D$3:$D$74=$C50)*Fixture_Grupos!$H$3:$H$74*Fixture_Grupos!$G$3:$G$74)+SUMPRODUCT((Fixture_Grupos!$E$3:$E$74=$C50)*Fixture_Grupos!$H$3:$H$74*Fixture_Grupos!$F$3:$F$74)</f>
        <v/>
      </c>
      <c r="J50" s="11">
        <f>H50-I50</f>
        <v/>
      </c>
      <c r="K50" s="11">
        <f>3*E50+F50</f>
        <v/>
      </c>
      <c r="L50" s="11">
        <f>SUMPRODUCT(--(($K$47:$K$50*1000+$J$47:$J$50*10+$H$47:$H$50)&gt;($K50*1000+$J50*10+$H50)))+1</f>
        <v/>
      </c>
    </row>
    <row r="51" ht="15.75" customHeight="1" s="33"/>
    <row r="52" ht="15" customHeight="1" s="33">
      <c r="A52" s="32" t="inlineStr">
        <is>
          <t>Orden provisional = (Pts, DG, GF). El desempate oficial de FIFA aplica primero los resultados entre los equipos empatados (head-to-head); usar como guía, no como tabla oficial.</t>
        </is>
      </c>
    </row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52:L52"/>
    <mergeCell ref="A1:L1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tabSelected="1" workbookViewId="0">
      <pane ySplit="2" topLeftCell="A3" activePane="bottomLeft" state="frozen"/>
      <selection pane="bottomLeft" activeCell="F4" sqref="F4"/>
    </sheetView>
  </sheetViews>
  <sheetFormatPr baseColWidth="10" defaultColWidth="14.42578125" defaultRowHeight="15" customHeight="1"/>
  <cols>
    <col width="16" customWidth="1" style="33" min="1" max="1"/>
    <col width="9" customWidth="1" style="33" min="2" max="2"/>
    <col width="22" customWidth="1" style="33" min="3" max="3"/>
    <col width="8" customWidth="1" style="33" min="4" max="5"/>
    <col width="22" customWidth="1" style="33" min="6" max="6"/>
    <col width="26" customWidth="1" style="33" min="7" max="7"/>
    <col width="8.7109375" customWidth="1" style="33" min="8" max="26"/>
  </cols>
  <sheetData>
    <row r="1" ht="24" customHeight="1" s="33">
      <c r="A1" s="34" t="inlineStr">
        <is>
          <t>Fase eliminatoria — plantilla para cargar a mano (32avos → final)</t>
        </is>
      </c>
    </row>
    <row r="2" ht="15" customHeight="1" s="33">
      <c r="A2" s="7" t="inlineStr">
        <is>
          <t>Ronda</t>
        </is>
      </c>
      <c r="B2" s="7" t="inlineStr">
        <is>
          <t>Partido</t>
        </is>
      </c>
      <c r="C2" s="7" t="inlineStr">
        <is>
          <t>Equipo 1</t>
        </is>
      </c>
      <c r="D2" s="7" t="inlineStr">
        <is>
          <t>Goles 1</t>
        </is>
      </c>
      <c r="E2" s="7" t="inlineStr">
        <is>
          <t>Goles 2</t>
        </is>
      </c>
      <c r="F2" s="7" t="inlineStr">
        <is>
          <t>Equipo 2</t>
        </is>
      </c>
      <c r="G2" s="7" t="inlineStr">
        <is>
          <t>Notas</t>
        </is>
      </c>
      <c r="H2" s="27" t="inlineStr">
        <is>
          <t>Sede</t>
        </is>
      </c>
      <c r="I2" s="27" t="inlineStr">
        <is>
          <t>Slot 1</t>
        </is>
      </c>
      <c r="J2" s="27" t="inlineStr">
        <is>
          <t>Slot 2</t>
        </is>
      </c>
      <c r="K2" t="inlineStr">
        <is>
          <t>Pen 1</t>
        </is>
      </c>
      <c r="L2" t="inlineStr">
        <is>
          <t>Pen 2</t>
        </is>
      </c>
    </row>
    <row r="3" ht="15" customHeight="1" s="33">
      <c r="A3" s="8" t="inlineStr">
        <is>
          <t>32avos de final</t>
        </is>
      </c>
      <c r="B3" s="8" t="n">
        <v>1</v>
      </c>
      <c r="C3" s="31">
        <f t="array" ref="C3">INDEX(Posiciones!$C$3:$C$50,SUMPRODUCT((Posiciones!$A$3:$A$50="A")*(Posiciones!$L$3:$L$50=2)*ROW(Posiciones!$A$3:$A$50))-2)</f>
        <v/>
      </c>
      <c r="D3" s="26" t="n">
        <v>0</v>
      </c>
      <c r="E3" s="26" t="n">
        <v>1</v>
      </c>
      <c r="F3" s="31">
        <f t="array" ref="F3">INDEX(Posiciones!$C$3:$C$50,SUMPRODUCT((Posiciones!$A$3:$A$50="B")*(Posiciones!$L$3:$L$50=2)*ROW(Posiciones!$A$3:$A$50))-2)</f>
        <v/>
      </c>
      <c r="G3" s="31" t="inlineStr">
        <is>
          <t>Cruce definido por posición de grupo (FIFA). Completar equipos al cerrar la fase de grupos.</t>
        </is>
      </c>
      <c r="I3" s="23" t="inlineStr">
        <is>
          <t>2º A</t>
        </is>
      </c>
      <c r="J3" s="23" t="inlineStr">
        <is>
          <t>2º B</t>
        </is>
      </c>
    </row>
    <row r="4" ht="15" customHeight="1" s="33">
      <c r="A4" s="8" t="inlineStr">
        <is>
          <t>32avos de final</t>
        </is>
      </c>
      <c r="B4" s="8" t="n">
        <v>2</v>
      </c>
      <c r="C4" s="31">
        <f t="array" ref="C4">INDEX(Posiciones!$C$3:$C$50,SUMPRODUCT((Posiciones!$A$3:$A$50="C")*(Posiciones!$L$3:$L$50=1)*ROW(Posiciones!$A$3:$A$50))-2)</f>
        <v/>
      </c>
      <c r="D4" s="26" t="n">
        <v>2</v>
      </c>
      <c r="E4" s="26" t="n">
        <v>1</v>
      </c>
      <c r="F4" s="31">
        <f t="array" ref="F4">INDEX(Posiciones!$C$3:$C$50,SUMPRODUCT((Posiciones!$A$3:$A$50="F")*(Posiciones!$L$3:$L$50=2)*ROW(Posiciones!$A$3:$A$50))-2)</f>
        <v/>
      </c>
      <c r="G4" s="31" t="inlineStr">
        <is>
          <t>Cruce definido por posición de grupo (FIFA). Completar equipos al cerrar la fase de grupos.</t>
        </is>
      </c>
      <c r="I4" s="23" t="inlineStr">
        <is>
          <t>1º C</t>
        </is>
      </c>
      <c r="J4" s="23" t="inlineStr">
        <is>
          <t>2º F</t>
        </is>
      </c>
    </row>
    <row r="5" ht="15" customHeight="1" s="33">
      <c r="A5" s="8" t="inlineStr">
        <is>
          <t>32avos de final</t>
        </is>
      </c>
      <c r="B5" s="8" t="n">
        <v>3</v>
      </c>
      <c r="C5" s="31">
        <f t="array" ref="C5">INDEX(Posiciones!$C$3:$C$50,SUMPRODUCT((Posiciones!$A$3:$A$50="E")*(Posiciones!$L$3:$L$50=1)*ROW(Posiciones!$A$3:$A$50))-2)</f>
        <v/>
      </c>
      <c r="D5" s="26" t="n"/>
      <c r="E5" s="26" t="n"/>
      <c r="F5" s="31" t="inlineStr">
        <is>
          <t>Paraguay</t>
        </is>
      </c>
      <c r="G5" s="31" t="inlineStr">
        <is>
          <t>Cruce definido por posición de grupo (FIFA). Completar equipos al cerrar la fase de grupos.</t>
        </is>
      </c>
      <c r="I5" s="23" t="inlineStr">
        <is>
          <t>1º E</t>
        </is>
      </c>
      <c r="J5" s="23" t="inlineStr">
        <is>
          <t>3º A/B/C/D/F</t>
        </is>
      </c>
    </row>
    <row r="6" ht="15" customHeight="1" s="33">
      <c r="A6" s="8" t="inlineStr">
        <is>
          <t>32avos de final</t>
        </is>
      </c>
      <c r="B6" s="8" t="n">
        <v>4</v>
      </c>
      <c r="C6" s="31">
        <f t="array" ref="C6">INDEX(Posiciones!$C$3:$C$50,SUMPRODUCT((Posiciones!$A$3:$A$50="F")*(Posiciones!$L$3:$L$50=1)*ROW(Posiciones!$A$3:$A$50))-2)</f>
        <v/>
      </c>
      <c r="D6" s="26" t="n"/>
      <c r="E6" s="26" t="n"/>
      <c r="F6" s="31">
        <f t="array" ref="F6">INDEX(Posiciones!$C$3:$C$50,SUMPRODUCT((Posiciones!$A$3:$A$50="C")*(Posiciones!$L$3:$L$50=2)*ROW(Posiciones!$A$3:$A$50))-2)</f>
        <v/>
      </c>
      <c r="G6" s="31" t="inlineStr">
        <is>
          <t>Cruce definido por posición de grupo (FIFA). Completar equipos al cerrar la fase de grupos.</t>
        </is>
      </c>
      <c r="I6" s="23" t="inlineStr">
        <is>
          <t>1º F</t>
        </is>
      </c>
      <c r="J6" s="23" t="inlineStr">
        <is>
          <t>2º C</t>
        </is>
      </c>
    </row>
    <row r="7" ht="15" customHeight="1" s="33">
      <c r="A7" s="8" t="inlineStr">
        <is>
          <t>32avos de final</t>
        </is>
      </c>
      <c r="B7" s="8" t="n">
        <v>5</v>
      </c>
      <c r="C7" s="31">
        <f t="array" ref="C7">INDEX(Posiciones!$C$3:$C$50,SUMPRODUCT((Posiciones!$A$3:$A$50="E")*(Posiciones!$L$3:$L$50=2)*ROW(Posiciones!$A$3:$A$50))-2)</f>
        <v/>
      </c>
      <c r="D7" s="26" t="n"/>
      <c r="E7" s="26" t="n"/>
      <c r="F7" s="31">
        <f t="array" ref="F7">INDEX(Posiciones!$C$3:$C$50,SUMPRODUCT((Posiciones!$A$3:$A$50="I")*(Posiciones!$L$3:$L$50=2)*ROW(Posiciones!$A$3:$A$50))-2)</f>
        <v/>
      </c>
      <c r="G7" s="31" t="inlineStr">
        <is>
          <t>Cruce definido por posición de grupo (FIFA). Completar equipos al cerrar la fase de grupos.</t>
        </is>
      </c>
      <c r="I7" s="23" t="inlineStr">
        <is>
          <t>2º E</t>
        </is>
      </c>
      <c r="J7" s="23" t="inlineStr">
        <is>
          <t>2º I</t>
        </is>
      </c>
    </row>
    <row r="8" ht="15" customHeight="1" s="33">
      <c r="A8" s="8" t="inlineStr">
        <is>
          <t>32avos de final</t>
        </is>
      </c>
      <c r="B8" s="8" t="n">
        <v>6</v>
      </c>
      <c r="C8" s="31">
        <f t="array" ref="C8">INDEX(Posiciones!$C$3:$C$50,SUMPRODUCT((Posiciones!$A$3:$A$50="I")*(Posiciones!$L$3:$L$50=1)*ROW(Posiciones!$A$3:$A$50))-2)</f>
        <v/>
      </c>
      <c r="D8" s="26" t="n"/>
      <c r="E8" s="26" t="n"/>
      <c r="F8" s="31" t="inlineStr">
        <is>
          <t>Suecia</t>
        </is>
      </c>
      <c r="G8" s="31" t="inlineStr">
        <is>
          <t>Cruce definido por posición de grupo (FIFA). Completar equipos al cerrar la fase de grupos.</t>
        </is>
      </c>
      <c r="I8" s="23" t="inlineStr">
        <is>
          <t>1º I</t>
        </is>
      </c>
      <c r="J8" s="23" t="inlineStr">
        <is>
          <t>3º C/D/F/G/H</t>
        </is>
      </c>
    </row>
    <row r="9" ht="15" customHeight="1" s="33">
      <c r="A9" s="8" t="inlineStr">
        <is>
          <t>32avos de final</t>
        </is>
      </c>
      <c r="B9" s="8" t="n">
        <v>7</v>
      </c>
      <c r="C9" s="31">
        <f t="array" ref="C9">INDEX(Posiciones!$C$3:$C$50,SUMPRODUCT((Posiciones!$A$3:$A$50="A")*(Posiciones!$L$3:$L$50=1)*ROW(Posiciones!$A$3:$A$50))-2)</f>
        <v/>
      </c>
      <c r="D9" s="26" t="n"/>
      <c r="E9" s="26" t="n"/>
      <c r="F9" s="31" t="inlineStr">
        <is>
          <t>Ecuador</t>
        </is>
      </c>
      <c r="G9" s="31" t="inlineStr">
        <is>
          <t>Cruce definido por posición de grupo (FIFA). Completar equipos al cerrar la fase de grupos.</t>
        </is>
      </c>
      <c r="I9" s="23" t="inlineStr">
        <is>
          <t>1º A</t>
        </is>
      </c>
      <c r="J9" s="23" t="inlineStr">
        <is>
          <t>3º C/E/F/H/I</t>
        </is>
      </c>
    </row>
    <row r="10" ht="15" customHeight="1" s="33">
      <c r="A10" s="8" t="inlineStr">
        <is>
          <t>32avos de final</t>
        </is>
      </c>
      <c r="B10" s="8" t="n">
        <v>8</v>
      </c>
      <c r="C10" s="31">
        <f t="array" ref="C10">INDEX(Posiciones!$C$3:$C$50,SUMPRODUCT((Posiciones!$A$3:$A$50="L")*(Posiciones!$L$3:$L$50=1)*ROW(Posiciones!$A$3:$A$50))-2)</f>
        <v/>
      </c>
      <c r="D10" s="26" t="n"/>
      <c r="E10" s="26" t="n"/>
      <c r="F10" s="31" t="inlineStr">
        <is>
          <t>RD Congo</t>
        </is>
      </c>
      <c r="G10" s="31" t="inlineStr">
        <is>
          <t>Cruce definido por posición de grupo (FIFA). Completar equipos al cerrar la fase de grupos.</t>
        </is>
      </c>
      <c r="I10" s="23" t="inlineStr">
        <is>
          <t>1º L</t>
        </is>
      </c>
      <c r="J10" s="23" t="inlineStr">
        <is>
          <t>3º E/H/I/J/K</t>
        </is>
      </c>
    </row>
    <row r="11" ht="15" customHeight="1" s="33">
      <c r="A11" s="8" t="inlineStr">
        <is>
          <t>32avos de final</t>
        </is>
      </c>
      <c r="B11" s="8" t="n">
        <v>9</v>
      </c>
      <c r="C11" s="31">
        <f t="array" ref="C11">INDEX(Posiciones!$C$3:$C$50,SUMPRODUCT((Posiciones!$A$3:$A$50="G")*(Posiciones!$L$3:$L$50=1)*ROW(Posiciones!$A$3:$A$50))-2)</f>
        <v/>
      </c>
      <c r="D11" s="26" t="n"/>
      <c r="E11" s="26" t="n"/>
      <c r="F11" s="31" t="inlineStr">
        <is>
          <t>Senegal</t>
        </is>
      </c>
      <c r="G11" s="31" t="inlineStr">
        <is>
          <t>Cruce definido por posición de grupo (FIFA). Completar equipos al cerrar la fase de grupos.</t>
        </is>
      </c>
      <c r="I11" s="23" t="inlineStr">
        <is>
          <t>1º G</t>
        </is>
      </c>
      <c r="J11" s="23" t="inlineStr">
        <is>
          <t>3º A/E/H/I/J</t>
        </is>
      </c>
    </row>
    <row r="12" ht="15" customHeight="1" s="33">
      <c r="A12" s="8" t="inlineStr">
        <is>
          <t>32avos de final</t>
        </is>
      </c>
      <c r="B12" s="8" t="n">
        <v>10</v>
      </c>
      <c r="C12" s="31">
        <f t="array" ref="C12">INDEX(Posiciones!$C$3:$C$50,SUMPRODUCT((Posiciones!$A$3:$A$50="D")*(Posiciones!$L$3:$L$50=1)*ROW(Posiciones!$A$3:$A$50))-2)</f>
        <v/>
      </c>
      <c r="D12" s="26" t="n"/>
      <c r="E12" s="26" t="n"/>
      <c r="F12" s="31" t="inlineStr">
        <is>
          <t>Bosnia y Herzegovina</t>
        </is>
      </c>
      <c r="G12" s="31" t="inlineStr">
        <is>
          <t>Cruce definido por posición de grupo (FIFA). Completar equipos al cerrar la fase de grupos.</t>
        </is>
      </c>
      <c r="I12" s="23" t="inlineStr">
        <is>
          <t>1º D</t>
        </is>
      </c>
      <c r="J12" s="23" t="inlineStr">
        <is>
          <t>3º B/E/F/I/J</t>
        </is>
      </c>
    </row>
    <row r="13" ht="15" customHeight="1" s="33">
      <c r="A13" s="8" t="inlineStr">
        <is>
          <t>32avos de final</t>
        </is>
      </c>
      <c r="B13" s="8" t="n">
        <v>11</v>
      </c>
      <c r="C13" s="31">
        <f t="array" ref="C13">INDEX(Posiciones!$C$3:$C$50,SUMPRODUCT((Posiciones!$A$3:$A$50="H")*(Posiciones!$L$3:$L$50=1)*ROW(Posiciones!$A$3:$A$50))-2)</f>
        <v/>
      </c>
      <c r="D13" s="26" t="n"/>
      <c r="E13" s="26" t="n"/>
      <c r="F13" s="31">
        <f t="array" ref="F13">INDEX(Posiciones!$C$3:$C$50,SUMPRODUCT((Posiciones!$A$3:$A$50="J")*(Posiciones!$L$3:$L$50=2)*ROW(Posiciones!$A$3:$A$50))-2)</f>
        <v/>
      </c>
      <c r="G13" s="31" t="inlineStr">
        <is>
          <t>Cruce definido por posición de grupo (FIFA). Completar equipos al cerrar la fase de grupos.</t>
        </is>
      </c>
      <c r="I13" s="23" t="inlineStr">
        <is>
          <t>1º H</t>
        </is>
      </c>
      <c r="J13" s="23" t="inlineStr">
        <is>
          <t>2º J</t>
        </is>
      </c>
    </row>
    <row r="14" ht="15" customHeight="1" s="33">
      <c r="A14" s="8" t="inlineStr">
        <is>
          <t>32avos de final</t>
        </is>
      </c>
      <c r="B14" s="8" t="n">
        <v>12</v>
      </c>
      <c r="C14" s="31">
        <f t="array" ref="C14">INDEX(Posiciones!$C$3:$C$50,SUMPRODUCT((Posiciones!$A$3:$A$50="K")*(Posiciones!$L$3:$L$50=2)*ROW(Posiciones!$A$3:$A$50))-2)</f>
        <v/>
      </c>
      <c r="D14" s="26" t="n"/>
      <c r="E14" s="26" t="n"/>
      <c r="F14" s="31">
        <f t="array" ref="F14">INDEX(Posiciones!$C$3:$C$50,SUMPRODUCT((Posiciones!$A$3:$A$50="L")*(Posiciones!$L$3:$L$50=2)*ROW(Posiciones!$A$3:$A$50))-2)</f>
        <v/>
      </c>
      <c r="G14" s="31" t="inlineStr">
        <is>
          <t>Cruce definido por posición de grupo (FIFA). Completar equipos al cerrar la fase de grupos.</t>
        </is>
      </c>
      <c r="I14" s="23" t="inlineStr">
        <is>
          <t>2º K</t>
        </is>
      </c>
      <c r="J14" s="23" t="inlineStr">
        <is>
          <t>2º L</t>
        </is>
      </c>
    </row>
    <row r="15" ht="15" customHeight="1" s="33">
      <c r="A15" s="8" t="inlineStr">
        <is>
          <t>32avos de final</t>
        </is>
      </c>
      <c r="B15" s="8" t="n">
        <v>13</v>
      </c>
      <c r="C15" s="31">
        <f t="array" ref="C15">INDEX(Posiciones!$C$3:$C$50,SUMPRODUCT((Posiciones!$A$3:$A$50="B")*(Posiciones!$L$3:$L$50=1)*ROW(Posiciones!$A$3:$A$50))-2)</f>
        <v/>
      </c>
      <c r="D15" s="26" t="n"/>
      <c r="E15" s="26" t="n"/>
      <c r="F15" s="31" t="inlineStr">
        <is>
          <t>Argelia</t>
        </is>
      </c>
      <c r="G15" s="31" t="inlineStr">
        <is>
          <t>Cruce definido por posición de grupo (FIFA). Completar equipos al cerrar la fase de grupos.</t>
        </is>
      </c>
      <c r="I15" s="23" t="inlineStr">
        <is>
          <t>1º B</t>
        </is>
      </c>
      <c r="J15" s="23" t="inlineStr">
        <is>
          <t>3º E/F/G/I/J</t>
        </is>
      </c>
    </row>
    <row r="16" ht="15" customHeight="1" s="33">
      <c r="A16" s="8" t="inlineStr">
        <is>
          <t>32avos de final</t>
        </is>
      </c>
      <c r="B16" s="8" t="n">
        <v>14</v>
      </c>
      <c r="C16" s="31">
        <f t="array" ref="C16">INDEX(Posiciones!$C$3:$C$50,SUMPRODUCT((Posiciones!$A$3:$A$50="D")*(Posiciones!$L$3:$L$50=2)*ROW(Posiciones!$A$3:$A$50))-2)</f>
        <v/>
      </c>
      <c r="D16" s="26" t="n"/>
      <c r="E16" s="26" t="n"/>
      <c r="F16" s="31">
        <f t="array" ref="F16">INDEX(Posiciones!$C$3:$C$50,SUMPRODUCT((Posiciones!$A$3:$A$50="G")*(Posiciones!$L$3:$L$50=2)*ROW(Posiciones!$A$3:$A$50))-2)</f>
        <v/>
      </c>
      <c r="G16" s="31" t="inlineStr">
        <is>
          <t>Cruce definido por posición de grupo (FIFA). Completar equipos al cerrar la fase de grupos.</t>
        </is>
      </c>
      <c r="I16" s="23" t="inlineStr">
        <is>
          <t>2º D</t>
        </is>
      </c>
      <c r="J16" s="23" t="inlineStr">
        <is>
          <t>2º G</t>
        </is>
      </c>
    </row>
    <row r="17" ht="15" customHeight="1" s="33">
      <c r="A17" s="8" t="inlineStr">
        <is>
          <t>32avos de final</t>
        </is>
      </c>
      <c r="B17" s="8" t="n">
        <v>15</v>
      </c>
      <c r="C17" s="31">
        <f t="array" ref="C17">INDEX(Posiciones!$C$3:$C$50,SUMPRODUCT((Posiciones!$A$3:$A$50="J")*(Posiciones!$L$3:$L$50=1)*ROW(Posiciones!$A$3:$A$50))-2)</f>
        <v/>
      </c>
      <c r="D17" s="26" t="n"/>
      <c r="E17" s="26" t="n"/>
      <c r="F17" s="31">
        <f t="array" ref="F17">INDEX(Posiciones!$C$3:$C$50,SUMPRODUCT((Posiciones!$A$3:$A$50="H")*(Posiciones!$L$3:$L$50=2)*ROW(Posiciones!$A$3:$A$50))-2)</f>
        <v/>
      </c>
      <c r="G17" s="31" t="inlineStr">
        <is>
          <t>Cruce definido por posición de grupo (FIFA). Completar equipos al cerrar la fase de grupos.</t>
        </is>
      </c>
      <c r="I17" s="23" t="inlineStr">
        <is>
          <t>1º J</t>
        </is>
      </c>
      <c r="J17" s="23" t="inlineStr">
        <is>
          <t>2º H</t>
        </is>
      </c>
    </row>
    <row r="18" ht="15" customHeight="1" s="33">
      <c r="A18" s="8" t="inlineStr">
        <is>
          <t>32avos de final</t>
        </is>
      </c>
      <c r="B18" s="8" t="n">
        <v>16</v>
      </c>
      <c r="C18" s="31">
        <f t="array" ref="C18">INDEX(Posiciones!$C$3:$C$50,SUMPRODUCT((Posiciones!$A$3:$A$50="K")*(Posiciones!$L$3:$L$50=1)*ROW(Posiciones!$A$3:$A$50))-2)</f>
        <v/>
      </c>
      <c r="D18" s="26" t="n"/>
      <c r="E18" s="26" t="n"/>
      <c r="F18" s="31" t="inlineStr">
        <is>
          <t>Ghana</t>
        </is>
      </c>
      <c r="G18" s="31" t="inlineStr">
        <is>
          <t>Cruce definido por posición de grupo (FIFA). Completar equipos al cerrar la fase de grupos.</t>
        </is>
      </c>
      <c r="I18" s="23" t="inlineStr">
        <is>
          <t>1º K</t>
        </is>
      </c>
      <c r="J18" s="23" t="inlineStr">
        <is>
          <t>3º D/E/I/J/L</t>
        </is>
      </c>
    </row>
    <row r="19" ht="15" customHeight="1" s="33">
      <c r="A19" s="8" t="inlineStr">
        <is>
          <t>16avos de final</t>
        </is>
      </c>
      <c r="B19" s="8" t="n">
        <v>1</v>
      </c>
      <c r="C19" s="31" t="n"/>
      <c r="D19" s="26" t="n"/>
      <c r="E19" s="26" t="n"/>
      <c r="F19" s="31" t="n"/>
      <c r="G19" s="31" t="n"/>
    </row>
    <row r="20" ht="15" customHeight="1" s="33">
      <c r="A20" s="8" t="inlineStr">
        <is>
          <t>16avos de final</t>
        </is>
      </c>
      <c r="B20" s="8" t="n">
        <v>2</v>
      </c>
      <c r="C20" s="31" t="n"/>
      <c r="D20" s="26" t="n"/>
      <c r="E20" s="26" t="n"/>
      <c r="F20" s="31" t="n"/>
      <c r="G20" s="31" t="n"/>
    </row>
    <row r="21" ht="15" customHeight="1" s="33">
      <c r="A21" s="8" t="inlineStr">
        <is>
          <t>16avos de final</t>
        </is>
      </c>
      <c r="B21" s="8" t="n">
        <v>3</v>
      </c>
      <c r="C21" s="31" t="n"/>
      <c r="D21" s="26" t="n"/>
      <c r="E21" s="26" t="n"/>
      <c r="F21" s="31" t="n"/>
      <c r="G21" s="31" t="n"/>
    </row>
    <row r="22" ht="15" customHeight="1" s="33">
      <c r="A22" s="8" t="inlineStr">
        <is>
          <t>16avos de final</t>
        </is>
      </c>
      <c r="B22" s="8" t="n">
        <v>4</v>
      </c>
      <c r="C22" s="31" t="n"/>
      <c r="D22" s="26" t="n"/>
      <c r="E22" s="26" t="n"/>
      <c r="F22" s="31" t="n"/>
      <c r="G22" s="31" t="n"/>
    </row>
    <row r="23" ht="15" customHeight="1" s="33">
      <c r="A23" s="8" t="inlineStr">
        <is>
          <t>16avos de final</t>
        </is>
      </c>
      <c r="B23" s="8" t="n">
        <v>5</v>
      </c>
      <c r="C23" s="31" t="n"/>
      <c r="D23" s="26" t="n"/>
      <c r="E23" s="26" t="n"/>
      <c r="F23" s="31" t="n"/>
      <c r="G23" s="31" t="n"/>
    </row>
    <row r="24" ht="15" customHeight="1" s="33">
      <c r="A24" s="8" t="inlineStr">
        <is>
          <t>16avos de final</t>
        </is>
      </c>
      <c r="B24" s="8" t="n">
        <v>6</v>
      </c>
      <c r="C24" s="31" t="n"/>
      <c r="D24" s="26" t="n"/>
      <c r="E24" s="26" t="n"/>
      <c r="F24" s="31" t="n"/>
      <c r="G24" s="31" t="n"/>
    </row>
    <row r="25" ht="15" customHeight="1" s="33">
      <c r="A25" s="8" t="inlineStr">
        <is>
          <t>16avos de final</t>
        </is>
      </c>
      <c r="B25" s="8" t="n">
        <v>7</v>
      </c>
      <c r="C25" s="31" t="n"/>
      <c r="D25" s="26" t="n"/>
      <c r="E25" s="26" t="n"/>
      <c r="F25" s="31" t="n"/>
      <c r="G25" s="31" t="n"/>
    </row>
    <row r="26" ht="15" customHeight="1" s="33">
      <c r="A26" s="8" t="inlineStr">
        <is>
          <t>16avos de final</t>
        </is>
      </c>
      <c r="B26" s="8" t="n">
        <v>8</v>
      </c>
      <c r="C26" s="31" t="n"/>
      <c r="D26" s="26" t="n"/>
      <c r="E26" s="26" t="n"/>
      <c r="F26" s="31" t="n"/>
      <c r="G26" s="31" t="n"/>
    </row>
    <row r="27" ht="15" customHeight="1" s="33">
      <c r="A27" s="8" t="inlineStr">
        <is>
          <t>Cuartos de final</t>
        </is>
      </c>
      <c r="B27" s="8" t="n">
        <v>1</v>
      </c>
      <c r="C27" s="31" t="n"/>
      <c r="D27" s="26" t="n"/>
      <c r="E27" s="26" t="n"/>
      <c r="F27" s="31" t="n"/>
      <c r="G27" s="31" t="n"/>
    </row>
    <row r="28" ht="15" customHeight="1" s="33">
      <c r="A28" s="8" t="inlineStr">
        <is>
          <t>Cuartos de final</t>
        </is>
      </c>
      <c r="B28" s="8" t="n">
        <v>2</v>
      </c>
      <c r="C28" s="31" t="n"/>
      <c r="D28" s="26" t="n"/>
      <c r="E28" s="26" t="n"/>
      <c r="F28" s="31" t="n"/>
      <c r="G28" s="31" t="n"/>
    </row>
    <row r="29" ht="15" customHeight="1" s="33">
      <c r="A29" s="8" t="inlineStr">
        <is>
          <t>Cuartos de final</t>
        </is>
      </c>
      <c r="B29" s="8" t="n">
        <v>3</v>
      </c>
      <c r="C29" s="31" t="n"/>
      <c r="D29" s="26" t="n"/>
      <c r="E29" s="26" t="n"/>
      <c r="F29" s="31" t="n"/>
      <c r="G29" s="31" t="n"/>
    </row>
    <row r="30" ht="15" customHeight="1" s="33">
      <c r="A30" s="8" t="inlineStr">
        <is>
          <t>Cuartos de final</t>
        </is>
      </c>
      <c r="B30" s="8" t="n">
        <v>4</v>
      </c>
      <c r="C30" s="31" t="n"/>
      <c r="D30" s="26" t="n"/>
      <c r="E30" s="26" t="n"/>
      <c r="F30" s="31" t="n"/>
      <c r="G30" s="31" t="n"/>
    </row>
    <row r="31" ht="15" customHeight="1" s="33">
      <c r="A31" s="8" t="inlineStr">
        <is>
          <t>Semifinales</t>
        </is>
      </c>
      <c r="B31" s="8" t="n">
        <v>1</v>
      </c>
      <c r="C31" s="31" t="n"/>
      <c r="D31" s="26" t="n"/>
      <c r="E31" s="26" t="n"/>
      <c r="F31" s="31" t="n"/>
      <c r="G31" s="31" t="n"/>
    </row>
    <row r="32" ht="15" customHeight="1" s="33">
      <c r="A32" s="8" t="inlineStr">
        <is>
          <t>Semifinales</t>
        </is>
      </c>
      <c r="B32" s="8" t="n">
        <v>2</v>
      </c>
      <c r="C32" s="31" t="n"/>
      <c r="D32" s="26" t="n"/>
      <c r="E32" s="26" t="n"/>
      <c r="F32" s="31" t="n"/>
      <c r="G32" s="31" t="n"/>
    </row>
    <row r="33" ht="15" customHeight="1" s="33">
      <c r="A33" s="8" t="inlineStr">
        <is>
          <t>Tercer puesto</t>
        </is>
      </c>
      <c r="B33" s="8" t="n">
        <v>1</v>
      </c>
      <c r="C33" s="31" t="n"/>
      <c r="D33" s="26" t="n"/>
      <c r="E33" s="26" t="n"/>
      <c r="F33" s="31" t="n"/>
      <c r="G33" s="31" t="n"/>
    </row>
    <row r="34" ht="15" customHeight="1" s="33">
      <c r="A34" s="8" t="inlineStr">
        <is>
          <t>Final</t>
        </is>
      </c>
      <c r="B34" s="8" t="n">
        <v>1</v>
      </c>
      <c r="C34" s="31" t="n"/>
      <c r="D34" s="26" t="n"/>
      <c r="E34" s="26" t="n"/>
      <c r="F34" s="31" t="n"/>
      <c r="G34" s="31" t="n"/>
    </row>
    <row r="35" ht="15.75" customHeight="1" s="33"/>
    <row r="36" ht="15" customHeight="1" s="33">
      <c r="A36" s="32" t="inlineStr">
        <is>
          <t>32 equipos: 2 mejores de cada grupo + 8 mejores terceros. Los cruces de 32avos dependen de qué grupos aportan los terceros (tabla FIFA).</t>
        </is>
      </c>
    </row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36:G36"/>
    <mergeCell ref="A1:G1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10" defaultColWidth="14.42578125" defaultRowHeight="15" customHeight="1"/>
  <cols>
    <col width="9.140625" customWidth="1" style="33" min="1" max="26"/>
  </cols>
  <sheetData>
    <row r="1">
      <c r="A1" s="27" t="inlineStr">
        <is>
          <t>Sedes del Mundial 2026 (referencia: ciudad, país, estadio, altitud aprox. en m)</t>
        </is>
      </c>
    </row>
    <row r="2">
      <c r="A2" s="27" t="inlineStr">
        <is>
          <t>Ciudad</t>
        </is>
      </c>
      <c r="B2" s="27" t="inlineStr">
        <is>
          <t>País</t>
        </is>
      </c>
      <c r="C2" s="27" t="inlineStr">
        <is>
          <t>Estadio</t>
        </is>
      </c>
      <c r="D2" s="27" t="inlineStr">
        <is>
          <t>Altitud (m)</t>
        </is>
      </c>
    </row>
    <row r="3">
      <c r="A3" s="23" t="inlineStr">
        <is>
          <t>Ciudad de México</t>
        </is>
      </c>
      <c r="B3" s="23" t="inlineStr">
        <is>
          <t>México</t>
        </is>
      </c>
      <c r="C3" s="23" t="inlineStr">
        <is>
          <t>Estadio Azteca</t>
        </is>
      </c>
      <c r="D3" s="23" t="n">
        <v>2240</v>
      </c>
    </row>
    <row r="4">
      <c r="A4" s="23" t="inlineStr">
        <is>
          <t>Guadalajara</t>
        </is>
      </c>
      <c r="B4" s="23" t="inlineStr">
        <is>
          <t>México</t>
        </is>
      </c>
      <c r="C4" s="23" t="inlineStr">
        <is>
          <t>Estadio Akron</t>
        </is>
      </c>
      <c r="D4" s="23" t="n">
        <v>1560</v>
      </c>
    </row>
    <row r="5">
      <c r="A5" s="23" t="inlineStr">
        <is>
          <t>Monterrey</t>
        </is>
      </c>
      <c r="B5" s="23" t="inlineStr">
        <is>
          <t>México</t>
        </is>
      </c>
      <c r="C5" s="23" t="inlineStr">
        <is>
          <t>Estadio BBVA</t>
        </is>
      </c>
      <c r="D5" s="23" t="n">
        <v>500</v>
      </c>
    </row>
    <row r="6">
      <c r="A6" s="23" t="inlineStr">
        <is>
          <t>Toronto</t>
        </is>
      </c>
      <c r="B6" s="23" t="inlineStr">
        <is>
          <t>Canadá</t>
        </is>
      </c>
      <c r="C6" s="23" t="inlineStr">
        <is>
          <t>BMO Field</t>
        </is>
      </c>
      <c r="D6" s="23" t="n">
        <v>76</v>
      </c>
    </row>
    <row r="7">
      <c r="A7" s="23" t="inlineStr">
        <is>
          <t>Vancouver</t>
        </is>
      </c>
      <c r="B7" s="23" t="inlineStr">
        <is>
          <t>Canadá</t>
        </is>
      </c>
      <c r="C7" s="23" t="inlineStr">
        <is>
          <t>BC Place</t>
        </is>
      </c>
      <c r="D7" s="23" t="n">
        <v>0</v>
      </c>
    </row>
    <row r="8">
      <c r="A8" s="23" t="inlineStr">
        <is>
          <t>Nueva York/Nueva Jersey</t>
        </is>
      </c>
      <c r="B8" s="23" t="inlineStr">
        <is>
          <t>Estados Unidos</t>
        </is>
      </c>
      <c r="C8" s="23" t="inlineStr">
        <is>
          <t>MetLife Stadium</t>
        </is>
      </c>
      <c r="D8" s="23" t="n">
        <v>3</v>
      </c>
    </row>
    <row r="9">
      <c r="A9" s="23" t="inlineStr">
        <is>
          <t>Dallas</t>
        </is>
      </c>
      <c r="B9" s="23" t="inlineStr">
        <is>
          <t>Estados Unidos</t>
        </is>
      </c>
      <c r="C9" s="23" t="inlineStr">
        <is>
          <t>AT&amp;T Stadium</t>
        </is>
      </c>
      <c r="D9" s="23" t="n">
        <v>150</v>
      </c>
    </row>
    <row r="10">
      <c r="A10" s="23" t="inlineStr">
        <is>
          <t>Los Ángeles</t>
        </is>
      </c>
      <c r="B10" s="23" t="inlineStr">
        <is>
          <t>Estados Unidos</t>
        </is>
      </c>
      <c r="C10" s="23" t="inlineStr">
        <is>
          <t>SoFi Stadium</t>
        </is>
      </c>
      <c r="D10" s="23" t="n">
        <v>30</v>
      </c>
    </row>
    <row r="11">
      <c r="A11" s="23" t="inlineStr">
        <is>
          <t>Kansas City</t>
        </is>
      </c>
      <c r="B11" s="23" t="inlineStr">
        <is>
          <t>Estados Unidos</t>
        </is>
      </c>
      <c r="C11" s="23" t="inlineStr">
        <is>
          <t>Arrowhead Stadium</t>
        </is>
      </c>
      <c r="D11" s="23" t="n">
        <v>270</v>
      </c>
    </row>
    <row r="12">
      <c r="A12" s="23" t="inlineStr">
        <is>
          <t>Bahía de San Francisco</t>
        </is>
      </c>
      <c r="B12" s="23" t="inlineStr">
        <is>
          <t>Estados Unidos</t>
        </is>
      </c>
      <c r="C12" s="23" t="inlineStr">
        <is>
          <t>Levi's Stadium</t>
        </is>
      </c>
      <c r="D12" s="23" t="n">
        <v>5</v>
      </c>
    </row>
    <row r="13">
      <c r="A13" s="23" t="inlineStr">
        <is>
          <t>Houston</t>
        </is>
      </c>
      <c r="B13" s="23" t="inlineStr">
        <is>
          <t>Estados Unidos</t>
        </is>
      </c>
      <c r="C13" s="23" t="inlineStr">
        <is>
          <t>NRG Stadium</t>
        </is>
      </c>
      <c r="D13" s="23" t="n">
        <v>15</v>
      </c>
    </row>
    <row r="14">
      <c r="A14" s="23" t="inlineStr">
        <is>
          <t>Filadelfia</t>
        </is>
      </c>
      <c r="B14" s="23" t="inlineStr">
        <is>
          <t>Estados Unidos</t>
        </is>
      </c>
      <c r="C14" s="23" t="inlineStr">
        <is>
          <t>Lincoln Financial Field</t>
        </is>
      </c>
      <c r="D14" s="23" t="n">
        <v>12</v>
      </c>
    </row>
    <row r="15">
      <c r="A15" s="23" t="inlineStr">
        <is>
          <t>Atlanta</t>
        </is>
      </c>
      <c r="B15" s="23" t="inlineStr">
        <is>
          <t>Estados Unidos</t>
        </is>
      </c>
      <c r="C15" s="23" t="inlineStr">
        <is>
          <t>Mercedes-Benz Stadium</t>
        </is>
      </c>
      <c r="D15" s="23" t="n">
        <v>320</v>
      </c>
    </row>
    <row r="16">
      <c r="A16" s="23" t="inlineStr">
        <is>
          <t>Seattle</t>
        </is>
      </c>
      <c r="B16" s="23" t="inlineStr">
        <is>
          <t>Estados Unidos</t>
        </is>
      </c>
      <c r="C16" s="23" t="inlineStr">
        <is>
          <t>Lumen Field</t>
        </is>
      </c>
      <c r="D16" s="23" t="n">
        <v>30</v>
      </c>
    </row>
    <row r="17">
      <c r="A17" s="23" t="inlineStr">
        <is>
          <t>Miami</t>
        </is>
      </c>
      <c r="B17" s="23" t="inlineStr">
        <is>
          <t>Estados Unidos</t>
        </is>
      </c>
      <c r="C17" s="23" t="inlineStr">
        <is>
          <t>Hard Rock Stadium</t>
        </is>
      </c>
      <c r="D17" s="23" t="n">
        <v>2</v>
      </c>
    </row>
    <row r="18">
      <c r="A18" s="23" t="inlineStr">
        <is>
          <t>Boston</t>
        </is>
      </c>
      <c r="B18" s="23" t="inlineStr">
        <is>
          <t>Estados Unidos</t>
        </is>
      </c>
      <c r="C18" s="23" t="inlineStr">
        <is>
          <t>Gillette Stadium</t>
        </is>
      </c>
      <c r="D18" s="23" t="n">
        <v>30</v>
      </c>
    </row>
    <row r="21" ht="15.75" customHeight="1" s="33"/>
    <row r="22" ht="15.75" customHeight="1" s="33"/>
    <row r="23" ht="15.75" customHeight="1" s="33"/>
    <row r="24" ht="15.75" customHeight="1" s="33"/>
    <row r="25" ht="15.75" customHeight="1" s="33"/>
    <row r="26" ht="15.75" customHeight="1" s="33"/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2026-06-24T20:52:04Z</dcterms:created>
  <dcterms:modified xsi:type="dcterms:W3CDTF">2026-06-29T19:18:26Z</dcterms:modified>
  <cp:lastModifiedBy>RIVERTI SANTIAGO</cp:lastModifiedBy>
</cp:coreProperties>
</file>