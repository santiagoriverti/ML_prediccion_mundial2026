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iverti\Desktop\INECO\Repositorios\ML_prediccion_mundial2026\"/>
    </mc:Choice>
  </mc:AlternateContent>
  <xr:revisionPtr revIDLastSave="0" documentId="13_ncr:1_{EE2F0859-04B5-4BAE-82B6-A3C8FD34DFA9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Léeme" sheetId="1" r:id="rId1"/>
    <sheet name="Selecciones" sheetId="2" r:id="rId2"/>
    <sheet name="Historial" sheetId="3" r:id="rId3"/>
    <sheet name="DTs" sheetId="4" r:id="rId4"/>
    <sheet name="Clasificatorias" sheetId="5" r:id="rId5"/>
    <sheet name="Predictores_país" sheetId="6" r:id="rId6"/>
    <sheet name="Fixture_Grupos" sheetId="7" r:id="rId7"/>
    <sheet name="Posiciones" sheetId="8" r:id="rId8"/>
    <sheet name="Eliminatorias" sheetId="9" r:id="rId9"/>
    <sheet name="Sed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7" l="1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J33" i="7"/>
  <c r="H33" i="7"/>
  <c r="I33" i="7" s="1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N50" i="5"/>
  <c r="M50" i="5"/>
  <c r="L50" i="5"/>
  <c r="K50" i="5"/>
  <c r="J50" i="5"/>
  <c r="N49" i="5"/>
  <c r="M49" i="5"/>
  <c r="L49" i="5"/>
  <c r="K49" i="5"/>
  <c r="J49" i="5"/>
  <c r="N48" i="5"/>
  <c r="M48" i="5"/>
  <c r="L48" i="5"/>
  <c r="K48" i="5"/>
  <c r="J48" i="5"/>
  <c r="N47" i="5"/>
  <c r="M47" i="5"/>
  <c r="L47" i="5"/>
  <c r="K47" i="5"/>
  <c r="J47" i="5"/>
  <c r="N46" i="5"/>
  <c r="M46" i="5"/>
  <c r="L46" i="5"/>
  <c r="K46" i="5"/>
  <c r="J46" i="5"/>
  <c r="N45" i="5"/>
  <c r="M45" i="5"/>
  <c r="L45" i="5"/>
  <c r="K45" i="5"/>
  <c r="J45" i="5"/>
  <c r="N44" i="5"/>
  <c r="M44" i="5"/>
  <c r="L44" i="5"/>
  <c r="K44" i="5"/>
  <c r="J44" i="5"/>
  <c r="N43" i="5"/>
  <c r="M43" i="5"/>
  <c r="L43" i="5"/>
  <c r="K43" i="5"/>
  <c r="J43" i="5"/>
  <c r="N42" i="5"/>
  <c r="M42" i="5"/>
  <c r="L42" i="5"/>
  <c r="K42" i="5"/>
  <c r="J42" i="5"/>
  <c r="N41" i="5"/>
  <c r="M41" i="5"/>
  <c r="L41" i="5"/>
  <c r="K41" i="5"/>
  <c r="J41" i="5"/>
  <c r="N40" i="5"/>
  <c r="M40" i="5"/>
  <c r="L40" i="5"/>
  <c r="K40" i="5"/>
  <c r="J40" i="5"/>
  <c r="N39" i="5"/>
  <c r="M39" i="5"/>
  <c r="L39" i="5"/>
  <c r="K39" i="5"/>
  <c r="J39" i="5"/>
  <c r="N38" i="5"/>
  <c r="M38" i="5"/>
  <c r="L38" i="5"/>
  <c r="K38" i="5"/>
  <c r="J38" i="5"/>
  <c r="N37" i="5"/>
  <c r="M37" i="5"/>
  <c r="L37" i="5"/>
  <c r="K37" i="5"/>
  <c r="J37" i="5"/>
  <c r="N36" i="5"/>
  <c r="M36" i="5"/>
  <c r="L36" i="5"/>
  <c r="K36" i="5"/>
  <c r="J36" i="5"/>
  <c r="N35" i="5"/>
  <c r="M35" i="5"/>
  <c r="L35" i="5"/>
  <c r="K35" i="5"/>
  <c r="J35" i="5"/>
  <c r="N34" i="5"/>
  <c r="M34" i="5"/>
  <c r="L34" i="5"/>
  <c r="K34" i="5"/>
  <c r="J34" i="5"/>
  <c r="N33" i="5"/>
  <c r="M33" i="5"/>
  <c r="L33" i="5"/>
  <c r="K33" i="5"/>
  <c r="J33" i="5"/>
  <c r="N32" i="5"/>
  <c r="M32" i="5"/>
  <c r="L32" i="5"/>
  <c r="K32" i="5"/>
  <c r="J32" i="5"/>
  <c r="N31" i="5"/>
  <c r="M31" i="5"/>
  <c r="L31" i="5"/>
  <c r="K31" i="5"/>
  <c r="J31" i="5"/>
  <c r="N30" i="5"/>
  <c r="M30" i="5"/>
  <c r="L30" i="5"/>
  <c r="K30" i="5"/>
  <c r="J30" i="5"/>
  <c r="N29" i="5"/>
  <c r="M29" i="5"/>
  <c r="L29" i="5"/>
  <c r="K29" i="5"/>
  <c r="J29" i="5"/>
  <c r="N28" i="5"/>
  <c r="M28" i="5"/>
  <c r="L28" i="5"/>
  <c r="K28" i="5"/>
  <c r="J28" i="5"/>
  <c r="N27" i="5"/>
  <c r="M27" i="5"/>
  <c r="L27" i="5"/>
  <c r="K27" i="5"/>
  <c r="J27" i="5"/>
  <c r="N26" i="5"/>
  <c r="M26" i="5"/>
  <c r="L26" i="5"/>
  <c r="K26" i="5"/>
  <c r="J26" i="5"/>
  <c r="N25" i="5"/>
  <c r="M25" i="5"/>
  <c r="L25" i="5"/>
  <c r="K25" i="5"/>
  <c r="J25" i="5"/>
  <c r="N24" i="5"/>
  <c r="M24" i="5"/>
  <c r="L24" i="5"/>
  <c r="K24" i="5"/>
  <c r="J24" i="5"/>
  <c r="N23" i="5"/>
  <c r="M23" i="5"/>
  <c r="L23" i="5"/>
  <c r="K23" i="5"/>
  <c r="J23" i="5"/>
  <c r="N22" i="5"/>
  <c r="M22" i="5"/>
  <c r="L22" i="5"/>
  <c r="K22" i="5"/>
  <c r="J22" i="5"/>
  <c r="N21" i="5"/>
  <c r="M21" i="5"/>
  <c r="L21" i="5"/>
  <c r="K21" i="5"/>
  <c r="J21" i="5"/>
  <c r="N20" i="5"/>
  <c r="M20" i="5"/>
  <c r="L20" i="5"/>
  <c r="K20" i="5"/>
  <c r="J20" i="5"/>
  <c r="N19" i="5"/>
  <c r="M19" i="5"/>
  <c r="L19" i="5"/>
  <c r="K19" i="5"/>
  <c r="J19" i="5"/>
  <c r="N18" i="5"/>
  <c r="M18" i="5"/>
  <c r="L18" i="5"/>
  <c r="K18" i="5"/>
  <c r="J18" i="5"/>
  <c r="N17" i="5"/>
  <c r="M17" i="5"/>
  <c r="L17" i="5"/>
  <c r="K17" i="5"/>
  <c r="J17" i="5"/>
  <c r="N16" i="5"/>
  <c r="M16" i="5"/>
  <c r="L16" i="5"/>
  <c r="K16" i="5"/>
  <c r="J16" i="5"/>
  <c r="N15" i="5"/>
  <c r="M15" i="5"/>
  <c r="L15" i="5"/>
  <c r="K15" i="5"/>
  <c r="J15" i="5"/>
  <c r="N14" i="5"/>
  <c r="M14" i="5"/>
  <c r="L14" i="5"/>
  <c r="K14" i="5"/>
  <c r="J14" i="5"/>
  <c r="N13" i="5"/>
  <c r="M13" i="5"/>
  <c r="L13" i="5"/>
  <c r="K13" i="5"/>
  <c r="J13" i="5"/>
  <c r="N12" i="5"/>
  <c r="M12" i="5"/>
  <c r="L12" i="5"/>
  <c r="K12" i="5"/>
  <c r="J12" i="5"/>
  <c r="N11" i="5"/>
  <c r="M11" i="5"/>
  <c r="L11" i="5"/>
  <c r="K11" i="5"/>
  <c r="J11" i="5"/>
  <c r="N10" i="5"/>
  <c r="M10" i="5"/>
  <c r="L10" i="5"/>
  <c r="K10" i="5"/>
  <c r="J10" i="5"/>
  <c r="N9" i="5"/>
  <c r="M9" i="5"/>
  <c r="L9" i="5"/>
  <c r="K9" i="5"/>
  <c r="J9" i="5"/>
  <c r="N8" i="5"/>
  <c r="M8" i="5"/>
  <c r="L8" i="5"/>
  <c r="K8" i="5"/>
  <c r="J8" i="5"/>
  <c r="N7" i="5"/>
  <c r="M7" i="5"/>
  <c r="L7" i="5"/>
  <c r="K7" i="5"/>
  <c r="J7" i="5"/>
  <c r="N6" i="5"/>
  <c r="M6" i="5"/>
  <c r="L6" i="5"/>
  <c r="K6" i="5"/>
  <c r="J6" i="5"/>
  <c r="N5" i="5"/>
  <c r="M5" i="5"/>
  <c r="L5" i="5"/>
  <c r="K5" i="5"/>
  <c r="J5" i="5"/>
  <c r="N4" i="5"/>
  <c r="M4" i="5"/>
  <c r="L4" i="5"/>
  <c r="K4" i="5"/>
  <c r="J4" i="5"/>
  <c r="N3" i="5"/>
  <c r="M3" i="5"/>
  <c r="L3" i="5"/>
  <c r="K3" i="5"/>
  <c r="J3" i="5"/>
  <c r="R50" i="3"/>
  <c r="Q50" i="3"/>
  <c r="P50" i="3"/>
  <c r="R49" i="3"/>
  <c r="Q49" i="3"/>
  <c r="P49" i="3"/>
  <c r="R48" i="3"/>
  <c r="Q48" i="3"/>
  <c r="P48" i="3"/>
  <c r="R47" i="3"/>
  <c r="Q47" i="3"/>
  <c r="P47" i="3"/>
  <c r="R46" i="3"/>
  <c r="Q46" i="3"/>
  <c r="P46" i="3"/>
  <c r="R45" i="3"/>
  <c r="Q45" i="3"/>
  <c r="P45" i="3"/>
  <c r="R44" i="3"/>
  <c r="Q44" i="3"/>
  <c r="P44" i="3"/>
  <c r="R43" i="3"/>
  <c r="Q43" i="3"/>
  <c r="P43" i="3"/>
  <c r="R42" i="3"/>
  <c r="Q42" i="3"/>
  <c r="P42" i="3"/>
  <c r="R41" i="3"/>
  <c r="Q41" i="3"/>
  <c r="P41" i="3"/>
  <c r="R40" i="3"/>
  <c r="Q40" i="3"/>
  <c r="P40" i="3"/>
  <c r="R39" i="3"/>
  <c r="Q39" i="3"/>
  <c r="P39" i="3"/>
  <c r="R38" i="3"/>
  <c r="Q38" i="3"/>
  <c r="P38" i="3"/>
  <c r="R37" i="3"/>
  <c r="Q37" i="3"/>
  <c r="P37" i="3"/>
  <c r="R36" i="3"/>
  <c r="Q36" i="3"/>
  <c r="P36" i="3"/>
  <c r="R35" i="3"/>
  <c r="Q35" i="3"/>
  <c r="P35" i="3"/>
  <c r="R34" i="3"/>
  <c r="Q34" i="3"/>
  <c r="P34" i="3"/>
  <c r="R33" i="3"/>
  <c r="Q33" i="3"/>
  <c r="P33" i="3"/>
  <c r="R32" i="3"/>
  <c r="Q32" i="3"/>
  <c r="P32" i="3"/>
  <c r="R31" i="3"/>
  <c r="Q31" i="3"/>
  <c r="P31" i="3"/>
  <c r="R30" i="3"/>
  <c r="Q30" i="3"/>
  <c r="P30" i="3"/>
  <c r="R29" i="3"/>
  <c r="Q29" i="3"/>
  <c r="P29" i="3"/>
  <c r="R28" i="3"/>
  <c r="Q28" i="3"/>
  <c r="P28" i="3"/>
  <c r="R27" i="3"/>
  <c r="Q27" i="3"/>
  <c r="P27" i="3"/>
  <c r="R26" i="3"/>
  <c r="Q26" i="3"/>
  <c r="P26" i="3"/>
  <c r="R25" i="3"/>
  <c r="Q25" i="3"/>
  <c r="P25" i="3"/>
  <c r="R24" i="3"/>
  <c r="Q24" i="3"/>
  <c r="P24" i="3"/>
  <c r="R23" i="3"/>
  <c r="Q23" i="3"/>
  <c r="P23" i="3"/>
  <c r="R22" i="3"/>
  <c r="Q22" i="3"/>
  <c r="P22" i="3"/>
  <c r="R21" i="3"/>
  <c r="Q21" i="3"/>
  <c r="P21" i="3"/>
  <c r="R20" i="3"/>
  <c r="Q20" i="3"/>
  <c r="P20" i="3"/>
  <c r="R19" i="3"/>
  <c r="Q19" i="3"/>
  <c r="P19" i="3"/>
  <c r="R18" i="3"/>
  <c r="Q18" i="3"/>
  <c r="P18" i="3"/>
  <c r="R17" i="3"/>
  <c r="Q17" i="3"/>
  <c r="P17" i="3"/>
  <c r="R16" i="3"/>
  <c r="Q16" i="3"/>
  <c r="P16" i="3"/>
  <c r="R15" i="3"/>
  <c r="Q15" i="3"/>
  <c r="P15" i="3"/>
  <c r="R14" i="3"/>
  <c r="Q14" i="3"/>
  <c r="P14" i="3"/>
  <c r="R13" i="3"/>
  <c r="Q13" i="3"/>
  <c r="P13" i="3"/>
  <c r="R12" i="3"/>
  <c r="Q12" i="3"/>
  <c r="P12" i="3"/>
  <c r="R11" i="3"/>
  <c r="Q11" i="3"/>
  <c r="P11" i="3"/>
  <c r="R10" i="3"/>
  <c r="Q10" i="3"/>
  <c r="P10" i="3"/>
  <c r="R9" i="3"/>
  <c r="Q9" i="3"/>
  <c r="P9" i="3"/>
  <c r="R8" i="3"/>
  <c r="Q8" i="3"/>
  <c r="P8" i="3"/>
  <c r="R7" i="3"/>
  <c r="Q7" i="3"/>
  <c r="P7" i="3"/>
  <c r="R6" i="3"/>
  <c r="Q6" i="3"/>
  <c r="P6" i="3"/>
  <c r="R5" i="3"/>
  <c r="Q5" i="3"/>
  <c r="P5" i="3"/>
  <c r="R4" i="3"/>
  <c r="Q4" i="3"/>
  <c r="P4" i="3"/>
  <c r="R3" i="3"/>
  <c r="Q3" i="3"/>
  <c r="P3" i="3"/>
  <c r="I74" i="7" l="1"/>
  <c r="J74" i="7"/>
  <c r="J73" i="7"/>
  <c r="I73" i="7"/>
  <c r="J72" i="7"/>
  <c r="I72" i="7"/>
  <c r="I71" i="7"/>
  <c r="J71" i="7"/>
  <c r="J70" i="7"/>
  <c r="I70" i="7"/>
  <c r="I69" i="7"/>
  <c r="J69" i="7"/>
  <c r="I68" i="7"/>
  <c r="J68" i="7"/>
  <c r="I67" i="7"/>
  <c r="J67" i="7"/>
  <c r="I66" i="7"/>
  <c r="J66" i="7"/>
  <c r="J65" i="7"/>
  <c r="I65" i="7"/>
  <c r="I64" i="7"/>
  <c r="J64" i="7"/>
  <c r="I63" i="7"/>
  <c r="J63" i="7"/>
  <c r="J62" i="7"/>
  <c r="I62" i="7"/>
  <c r="I61" i="7"/>
  <c r="J61" i="7"/>
  <c r="I60" i="7"/>
  <c r="J60" i="7"/>
  <c r="J59" i="7"/>
  <c r="I59" i="7"/>
  <c r="I58" i="7"/>
  <c r="J58" i="7"/>
  <c r="I57" i="7"/>
  <c r="J57" i="7"/>
  <c r="J56" i="7"/>
  <c r="I56" i="7"/>
  <c r="J55" i="7"/>
  <c r="I55" i="7"/>
  <c r="J54" i="7"/>
  <c r="I54" i="7"/>
  <c r="J53" i="7"/>
  <c r="I53" i="7"/>
  <c r="J52" i="7"/>
  <c r="I52" i="7"/>
  <c r="I51" i="7"/>
  <c r="J51" i="7"/>
  <c r="I50" i="7"/>
  <c r="J50" i="7"/>
  <c r="J49" i="7"/>
  <c r="I49" i="7"/>
  <c r="J48" i="7"/>
  <c r="I48" i="7"/>
  <c r="I47" i="7"/>
  <c r="J47" i="7"/>
  <c r="J46" i="7"/>
  <c r="I46" i="7"/>
  <c r="I45" i="7"/>
  <c r="J45" i="7"/>
  <c r="I44" i="7"/>
  <c r="J44" i="7"/>
  <c r="I43" i="7"/>
  <c r="J43" i="7"/>
  <c r="J42" i="7"/>
  <c r="I42" i="7"/>
  <c r="J41" i="7"/>
  <c r="I41" i="7"/>
  <c r="J40" i="7"/>
  <c r="I40" i="7"/>
  <c r="J39" i="7"/>
  <c r="I39" i="7"/>
  <c r="J38" i="7"/>
  <c r="I38" i="7"/>
  <c r="J37" i="7"/>
  <c r="I37" i="7"/>
  <c r="I36" i="7"/>
  <c r="J36" i="7"/>
  <c r="J35" i="7"/>
  <c r="I35" i="7"/>
  <c r="D41" i="8"/>
  <c r="I40" i="8"/>
  <c r="F40" i="8"/>
  <c r="H39" i="8"/>
  <c r="E39" i="8"/>
  <c r="G38" i="8"/>
  <c r="D38" i="8"/>
  <c r="I37" i="8"/>
  <c r="F37" i="8"/>
  <c r="H36" i="8"/>
  <c r="F36" i="8"/>
  <c r="H35" i="8"/>
  <c r="E35" i="8"/>
  <c r="G34" i="8"/>
  <c r="D34" i="8"/>
  <c r="I33" i="8"/>
  <c r="F33" i="8"/>
  <c r="H32" i="8"/>
  <c r="E32" i="8"/>
  <c r="I50" i="8"/>
  <c r="D31" i="8"/>
  <c r="I30" i="8"/>
  <c r="F30" i="8"/>
  <c r="G29" i="8"/>
  <c r="D29" i="8"/>
  <c r="H28" i="8"/>
  <c r="E28" i="8"/>
  <c r="G27" i="8"/>
  <c r="D27" i="8"/>
  <c r="I26" i="8"/>
  <c r="E26" i="8"/>
  <c r="H25" i="8"/>
  <c r="F25" i="8"/>
  <c r="I24" i="8"/>
  <c r="F24" i="8"/>
  <c r="I23" i="8"/>
  <c r="F23" i="8"/>
  <c r="H22" i="8"/>
  <c r="E22" i="8"/>
  <c r="G21" i="8"/>
  <c r="D21" i="8"/>
  <c r="I20" i="8"/>
  <c r="F20" i="8"/>
  <c r="I6" i="8"/>
  <c r="E6" i="8"/>
  <c r="F5" i="8"/>
  <c r="H4" i="8"/>
  <c r="D4" i="8"/>
  <c r="G3" i="8"/>
  <c r="G31" i="8"/>
  <c r="D20" i="8"/>
  <c r="I19" i="8"/>
  <c r="H19" i="8"/>
  <c r="J19" i="8" s="1"/>
  <c r="G19" i="8"/>
  <c r="F19" i="8"/>
  <c r="E19" i="8"/>
  <c r="K19" i="8" s="1"/>
  <c r="D19" i="8"/>
  <c r="I18" i="8"/>
  <c r="H18" i="8"/>
  <c r="J18" i="8" s="1"/>
  <c r="G18" i="8"/>
  <c r="F18" i="8"/>
  <c r="E18" i="8"/>
  <c r="K18" i="8" s="1"/>
  <c r="D18" i="8"/>
  <c r="I17" i="8"/>
  <c r="H17" i="8"/>
  <c r="J17" i="8" s="1"/>
  <c r="G17" i="8"/>
  <c r="F17" i="8"/>
  <c r="E17" i="8"/>
  <c r="K17" i="8" s="1"/>
  <c r="D17" i="8"/>
  <c r="I16" i="8"/>
  <c r="H16" i="8"/>
  <c r="J16" i="8" s="1"/>
  <c r="G16" i="8"/>
  <c r="F16" i="8"/>
  <c r="E16" i="8"/>
  <c r="K16" i="8" s="1"/>
  <c r="D16" i="8"/>
  <c r="I15" i="8"/>
  <c r="H15" i="8"/>
  <c r="J15" i="8" s="1"/>
  <c r="G15" i="8"/>
  <c r="F15" i="8"/>
  <c r="E15" i="8"/>
  <c r="K15" i="8" s="1"/>
  <c r="D15" i="8"/>
  <c r="I14" i="8"/>
  <c r="H14" i="8"/>
  <c r="J14" i="8" s="1"/>
  <c r="G14" i="8"/>
  <c r="F14" i="8"/>
  <c r="E14" i="8"/>
  <c r="K14" i="8" s="1"/>
  <c r="D14" i="8"/>
  <c r="I13" i="8"/>
  <c r="H13" i="8"/>
  <c r="J13" i="8" s="1"/>
  <c r="G13" i="8"/>
  <c r="F13" i="8"/>
  <c r="E13" i="8"/>
  <c r="K13" i="8" s="1"/>
  <c r="D13" i="8"/>
  <c r="I12" i="8"/>
  <c r="H12" i="8"/>
  <c r="J12" i="8" s="1"/>
  <c r="G12" i="8"/>
  <c r="F12" i="8"/>
  <c r="E12" i="8"/>
  <c r="K12" i="8" s="1"/>
  <c r="D12" i="8"/>
  <c r="I11" i="8"/>
  <c r="H11" i="8"/>
  <c r="J11" i="8" s="1"/>
  <c r="G11" i="8"/>
  <c r="F11" i="8"/>
  <c r="E11" i="8"/>
  <c r="K11" i="8" s="1"/>
  <c r="D11" i="8"/>
  <c r="I10" i="8"/>
  <c r="H10" i="8"/>
  <c r="J10" i="8" s="1"/>
  <c r="G10" i="8"/>
  <c r="F10" i="8"/>
  <c r="E10" i="8"/>
  <c r="K10" i="8" s="1"/>
  <c r="D10" i="8"/>
  <c r="I9" i="8"/>
  <c r="H9" i="8"/>
  <c r="J9" i="8" s="1"/>
  <c r="G9" i="8"/>
  <c r="F9" i="8"/>
  <c r="E9" i="8"/>
  <c r="K9" i="8" s="1"/>
  <c r="D9" i="8"/>
  <c r="I8" i="8"/>
  <c r="H8" i="8"/>
  <c r="J8" i="8" s="1"/>
  <c r="G8" i="8"/>
  <c r="F8" i="8"/>
  <c r="E8" i="8"/>
  <c r="K8" i="8" s="1"/>
  <c r="D8" i="8"/>
  <c r="I7" i="8"/>
  <c r="H7" i="8"/>
  <c r="J7" i="8" s="1"/>
  <c r="G7" i="8"/>
  <c r="F7" i="8"/>
  <c r="D7" i="8"/>
  <c r="F6" i="8"/>
  <c r="H5" i="8"/>
  <c r="J5" i="8" s="1"/>
  <c r="D5" i="8"/>
  <c r="G4" i="8"/>
  <c r="I3" i="8"/>
  <c r="E3" i="8"/>
  <c r="J34" i="7"/>
  <c r="D22" i="8"/>
  <c r="F47" i="8"/>
  <c r="H46" i="8"/>
  <c r="D46" i="8"/>
  <c r="I45" i="8"/>
  <c r="F45" i="8"/>
  <c r="G44" i="8"/>
  <c r="D44" i="8"/>
  <c r="G43" i="8"/>
  <c r="D43" i="8"/>
  <c r="I42" i="8"/>
  <c r="F42" i="8"/>
  <c r="H41" i="8"/>
  <c r="E41" i="8"/>
  <c r="G40" i="8"/>
  <c r="D40" i="8"/>
  <c r="I39" i="8"/>
  <c r="F39" i="8"/>
  <c r="H38" i="8"/>
  <c r="E38" i="8"/>
  <c r="G37" i="8"/>
  <c r="D37" i="8"/>
  <c r="I36" i="8"/>
  <c r="E36" i="8"/>
  <c r="K36" i="8" s="1"/>
  <c r="G35" i="8"/>
  <c r="D35" i="8"/>
  <c r="I34" i="8"/>
  <c r="F34" i="8"/>
  <c r="G33" i="8"/>
  <c r="D33" i="8"/>
  <c r="I32" i="8"/>
  <c r="F32" i="8"/>
  <c r="I31" i="8"/>
  <c r="F31" i="8"/>
  <c r="H30" i="8"/>
  <c r="J30" i="8" s="1"/>
  <c r="E30" i="8"/>
  <c r="K30" i="8" s="1"/>
  <c r="H29" i="8"/>
  <c r="E29" i="8"/>
  <c r="G28" i="8"/>
  <c r="D28" i="8"/>
  <c r="H27" i="8"/>
  <c r="E27" i="8"/>
  <c r="G26" i="8"/>
  <c r="D26" i="8"/>
  <c r="G25" i="8"/>
  <c r="E25" i="8"/>
  <c r="K25" i="8" s="1"/>
  <c r="G24" i="8"/>
  <c r="D24" i="8"/>
  <c r="H23" i="8"/>
  <c r="J23" i="8" s="1"/>
  <c r="E23" i="8"/>
  <c r="K23" i="8" s="1"/>
  <c r="G22" i="8"/>
  <c r="H21" i="8"/>
  <c r="E21" i="8"/>
  <c r="G20" i="8"/>
  <c r="E7" i="8"/>
  <c r="G6" i="8"/>
  <c r="I5" i="8"/>
  <c r="E5" i="8"/>
  <c r="K5" i="8" s="1"/>
  <c r="F4" i="8"/>
  <c r="H3" i="8"/>
  <c r="D3" i="8"/>
  <c r="H50" i="8"/>
  <c r="J50" i="8" s="1"/>
  <c r="G50" i="8"/>
  <c r="F50" i="8"/>
  <c r="E50" i="8"/>
  <c r="K50" i="8" s="1"/>
  <c r="D50" i="8"/>
  <c r="I49" i="8"/>
  <c r="H49" i="8"/>
  <c r="J49" i="8" s="1"/>
  <c r="G49" i="8"/>
  <c r="F49" i="8"/>
  <c r="E49" i="8"/>
  <c r="K49" i="8" s="1"/>
  <c r="D49" i="8"/>
  <c r="I48" i="8"/>
  <c r="H48" i="8"/>
  <c r="J48" i="8" s="1"/>
  <c r="G48" i="8"/>
  <c r="I34" i="7"/>
  <c r="E47" i="8"/>
  <c r="K47" i="8" s="1"/>
  <c r="G46" i="8"/>
  <c r="G45" i="8"/>
  <c r="D45" i="8"/>
  <c r="H44" i="8"/>
  <c r="E44" i="8"/>
  <c r="H43" i="8"/>
  <c r="E43" i="8"/>
  <c r="G42" i="8"/>
  <c r="D42" i="8"/>
  <c r="I41" i="8"/>
  <c r="F41" i="8"/>
  <c r="H40" i="8"/>
  <c r="J40" i="8" s="1"/>
  <c r="E40" i="8"/>
  <c r="K40" i="8" s="1"/>
  <c r="G39" i="8"/>
  <c r="D39" i="8"/>
  <c r="I38" i="8"/>
  <c r="F38" i="8"/>
  <c r="H37" i="8"/>
  <c r="J37" i="8" s="1"/>
  <c r="E37" i="8"/>
  <c r="K37" i="8" s="1"/>
  <c r="G36" i="8"/>
  <c r="D36" i="8"/>
  <c r="I35" i="8"/>
  <c r="F35" i="8"/>
  <c r="H34" i="8"/>
  <c r="J34" i="8" s="1"/>
  <c r="E34" i="8"/>
  <c r="K34" i="8" s="1"/>
  <c r="E33" i="8"/>
  <c r="K33" i="8" s="1"/>
  <c r="G32" i="8"/>
  <c r="D32" i="8"/>
  <c r="H31" i="8"/>
  <c r="J31" i="8" s="1"/>
  <c r="E31" i="8"/>
  <c r="K31" i="8" s="1"/>
  <c r="G30" i="8"/>
  <c r="D30" i="8"/>
  <c r="I29" i="8"/>
  <c r="F29" i="8"/>
  <c r="I28" i="8"/>
  <c r="F28" i="8"/>
  <c r="I27" i="8"/>
  <c r="F27" i="8"/>
  <c r="H26" i="8"/>
  <c r="J26" i="8" s="1"/>
  <c r="F26" i="8"/>
  <c r="I25" i="8"/>
  <c r="D25" i="8"/>
  <c r="H24" i="8"/>
  <c r="J24" i="8" s="1"/>
  <c r="E24" i="8"/>
  <c r="K24" i="8" s="1"/>
  <c r="G23" i="8"/>
  <c r="D23" i="8"/>
  <c r="I22" i="8"/>
  <c r="F22" i="8"/>
  <c r="I21" i="8"/>
  <c r="F21" i="8"/>
  <c r="H20" i="8"/>
  <c r="J20" i="8" s="1"/>
  <c r="E20" i="8"/>
  <c r="K20" i="8" s="1"/>
  <c r="H6" i="8"/>
  <c r="J6" i="8" s="1"/>
  <c r="D6" i="8"/>
  <c r="G5" i="8"/>
  <c r="I4" i="8"/>
  <c r="E4" i="8"/>
  <c r="K4" i="8" s="1"/>
  <c r="F3" i="8"/>
  <c r="F48" i="8"/>
  <c r="E48" i="8"/>
  <c r="K48" i="8" s="1"/>
  <c r="D48" i="8"/>
  <c r="I47" i="8"/>
  <c r="H47" i="8"/>
  <c r="J47" i="8" s="1"/>
  <c r="G47" i="8"/>
  <c r="D47" i="8"/>
  <c r="I46" i="8"/>
  <c r="F46" i="8"/>
  <c r="E46" i="8"/>
  <c r="K46" i="8" s="1"/>
  <c r="H45" i="8"/>
  <c r="J45" i="8" s="1"/>
  <c r="E45" i="8"/>
  <c r="K45" i="8" s="1"/>
  <c r="I44" i="8"/>
  <c r="F44" i="8"/>
  <c r="I43" i="8"/>
  <c r="F43" i="8"/>
  <c r="H42" i="8"/>
  <c r="J42" i="8" s="1"/>
  <c r="E42" i="8"/>
  <c r="K42" i="8" s="1"/>
  <c r="G41" i="8"/>
  <c r="H33" i="8"/>
  <c r="J33" i="8" s="1"/>
  <c r="I32" i="7"/>
  <c r="J32" i="7"/>
  <c r="J31" i="7"/>
  <c r="I31" i="7"/>
  <c r="J30" i="7"/>
  <c r="I30" i="7"/>
  <c r="I29" i="7"/>
  <c r="J29" i="7"/>
  <c r="I28" i="7"/>
  <c r="J28" i="7"/>
  <c r="I27" i="7"/>
  <c r="J27" i="7"/>
  <c r="I26" i="7"/>
  <c r="J26" i="7"/>
  <c r="J25" i="7"/>
  <c r="I25" i="7"/>
  <c r="I24" i="7"/>
  <c r="J24" i="7"/>
  <c r="I23" i="7"/>
  <c r="J23" i="7"/>
  <c r="I22" i="7"/>
  <c r="J22" i="7"/>
  <c r="I21" i="7"/>
  <c r="J21" i="7"/>
  <c r="I20" i="7"/>
  <c r="J20" i="7"/>
  <c r="I19" i="7"/>
  <c r="J19" i="7"/>
  <c r="J18" i="7"/>
  <c r="I18" i="7"/>
  <c r="J17" i="7"/>
  <c r="I17" i="7"/>
  <c r="J16" i="7"/>
  <c r="I16" i="7"/>
  <c r="J15" i="7"/>
  <c r="I15" i="7"/>
  <c r="J14" i="7"/>
  <c r="I14" i="7"/>
  <c r="I13" i="7"/>
  <c r="J13" i="7"/>
  <c r="I12" i="7"/>
  <c r="J12" i="7"/>
  <c r="I11" i="7"/>
  <c r="J11" i="7"/>
  <c r="I10" i="7"/>
  <c r="J10" i="7"/>
  <c r="I9" i="7"/>
  <c r="J9" i="7"/>
  <c r="I8" i="7"/>
  <c r="J8" i="7"/>
  <c r="I7" i="7"/>
  <c r="J7" i="7"/>
  <c r="I6" i="7"/>
  <c r="J6" i="7"/>
  <c r="I5" i="7"/>
  <c r="J5" i="7"/>
  <c r="J4" i="7"/>
  <c r="I4" i="7"/>
  <c r="I3" i="7"/>
  <c r="J3" i="7"/>
  <c r="L19" i="8" l="1"/>
  <c r="L20" i="8"/>
  <c r="L21" i="8"/>
  <c r="L22" i="8"/>
  <c r="L15" i="8"/>
  <c r="L16" i="8"/>
  <c r="L17" i="8"/>
  <c r="L18" i="8"/>
  <c r="L11" i="8"/>
  <c r="L12" i="8"/>
  <c r="L13" i="8"/>
  <c r="L14" i="8"/>
  <c r="L23" i="8"/>
  <c r="L24" i="8"/>
  <c r="L26" i="8"/>
  <c r="L25" i="8"/>
  <c r="L47" i="8"/>
  <c r="L48" i="8"/>
  <c r="L49" i="8"/>
  <c r="L50" i="8"/>
  <c r="L31" i="8"/>
  <c r="L32" i="8"/>
  <c r="L34" i="8"/>
  <c r="L33" i="8"/>
  <c r="J39" i="8"/>
  <c r="K39" i="8"/>
  <c r="J36" i="8"/>
  <c r="J35" i="8"/>
  <c r="K35" i="8"/>
  <c r="J32" i="8"/>
  <c r="K32" i="8"/>
  <c r="J28" i="8"/>
  <c r="K28" i="8"/>
  <c r="K26" i="8"/>
  <c r="J25" i="8"/>
  <c r="J22" i="8"/>
  <c r="K22" i="8"/>
  <c r="J46" i="8"/>
  <c r="J44" i="8"/>
  <c r="K43" i="8"/>
  <c r="K6" i="8"/>
  <c r="J4" i="8"/>
  <c r="K3" i="8"/>
  <c r="K44" i="8"/>
  <c r="J41" i="8"/>
  <c r="K41" i="8"/>
  <c r="J38" i="8"/>
  <c r="K38" i="8"/>
  <c r="J29" i="8"/>
  <c r="K29" i="8"/>
  <c r="J27" i="8"/>
  <c r="K27" i="8"/>
  <c r="J21" i="8"/>
  <c r="K21" i="8"/>
  <c r="K7" i="8"/>
  <c r="J3" i="8"/>
  <c r="J43" i="8"/>
  <c r="L41" i="8" l="1"/>
  <c r="L40" i="8"/>
  <c r="L42" i="8"/>
  <c r="L39" i="8"/>
  <c r="L37" i="8"/>
  <c r="L36" i="8"/>
  <c r="L38" i="8"/>
  <c r="L35" i="8"/>
  <c r="L46" i="8"/>
  <c r="L43" i="8"/>
  <c r="L45" i="8"/>
  <c r="L44" i="8"/>
  <c r="L5" i="8"/>
  <c r="L4" i="8"/>
  <c r="L6" i="8"/>
  <c r="L3" i="8"/>
  <c r="L30" i="8"/>
  <c r="L27" i="8"/>
  <c r="L29" i="8"/>
  <c r="L28" i="8"/>
  <c r="L10" i="8"/>
  <c r="L9" i="8"/>
  <c r="L8" i="8"/>
  <c r="L7" i="8"/>
  <c r="C3" i="9" l="1" a="1"/>
  <c r="C3" i="9" s="1"/>
  <c r="C4" i="9" a="1"/>
  <c r="C4" i="9" s="1"/>
  <c r="C5" i="9" a="1"/>
  <c r="C5" i="9" s="1"/>
  <c r="C19" i="9" s="1"/>
  <c r="F6" i="9" a="1"/>
  <c r="F6" i="9" s="1"/>
  <c r="F7" i="9" a="1"/>
  <c r="F7" i="9" s="1"/>
  <c r="C9" i="9" a="1"/>
  <c r="C9" i="9" s="1"/>
  <c r="C24" i="9" s="1"/>
  <c r="F29" i="9" s="1"/>
  <c r="C11" i="9" a="1"/>
  <c r="C11" i="9" s="1"/>
  <c r="F22" i="9" s="1"/>
  <c r="C13" i="9" a="1"/>
  <c r="C13" i="9" s="1"/>
  <c r="C14" i="9" a="1"/>
  <c r="C14" i="9" s="1"/>
  <c r="C15" i="9" a="1"/>
  <c r="C15" i="9" s="1"/>
  <c r="C26" i="9" s="1"/>
  <c r="F16" i="9" a="1"/>
  <c r="F16" i="9" s="1"/>
  <c r="F17" i="9" a="1"/>
  <c r="F17" i="9" s="1"/>
  <c r="F3" i="9" a="1"/>
  <c r="F3" i="9" s="1"/>
  <c r="F4" i="9" a="1"/>
  <c r="F4" i="9" s="1"/>
  <c r="C6" i="9" a="1"/>
  <c r="C6" i="9" s="1"/>
  <c r="C7" i="9" a="1"/>
  <c r="C7" i="9" s="1"/>
  <c r="C8" i="9" a="1"/>
  <c r="C8" i="9" s="1"/>
  <c r="F19" i="9" s="1"/>
  <c r="C10" i="9" a="1"/>
  <c r="C10" i="9" s="1"/>
  <c r="F24" i="9" s="1"/>
  <c r="C12" i="9" a="1"/>
  <c r="C12" i="9" s="1"/>
  <c r="C22" i="9" s="1"/>
  <c r="F28" i="9" s="1"/>
  <c r="F13" i="9" a="1"/>
  <c r="F13" i="9" s="1"/>
  <c r="F14" i="9" a="1"/>
  <c r="F14" i="9" s="1"/>
  <c r="C16" i="9" a="1"/>
  <c r="C16" i="9" s="1"/>
  <c r="C17" i="9" a="1"/>
  <c r="C17" i="9" s="1"/>
  <c r="C25" i="9" s="1"/>
  <c r="C18" i="9" a="1"/>
  <c r="C18" i="9" s="1"/>
  <c r="F26" i="9" s="1"/>
  <c r="C20" i="9" l="1"/>
  <c r="C23" i="9"/>
  <c r="C27" i="9"/>
  <c r="F21" i="9"/>
  <c r="C21" i="9"/>
  <c r="C28" i="9" s="1"/>
  <c r="F31" i="9" s="1"/>
  <c r="F30" i="9"/>
  <c r="F20" i="9"/>
  <c r="F23" i="9"/>
  <c r="F25" i="9"/>
  <c r="C30" i="9" s="1"/>
  <c r="F32" i="9" l="1"/>
  <c r="F27" i="9"/>
  <c r="C31" i="9" s="1"/>
  <c r="C29" i="9"/>
  <c r="C32" i="9" s="1"/>
  <c r="C33" i="9" l="1"/>
  <c r="C34" i="9"/>
  <c r="F33" i="9"/>
  <c r="F34" i="9"/>
</calcChain>
</file>

<file path=xl/sharedStrings.xml><?xml version="1.0" encoding="utf-8"?>
<sst xmlns="http://schemas.openxmlformats.org/spreadsheetml/2006/main" count="1485" uniqueCount="490">
  <si>
    <t>Fase eliminatoria — plantilla para cargar a mano (32avos → final)</t>
  </si>
  <si>
    <t>Ronda</t>
  </si>
  <si>
    <t>Partido</t>
  </si>
  <si>
    <t>Equipo 1</t>
  </si>
  <si>
    <t>Goles 1</t>
  </si>
  <si>
    <t>Goles 2</t>
  </si>
  <si>
    <t>Equipo 2</t>
  </si>
  <si>
    <t>Notas</t>
  </si>
  <si>
    <t>Sede</t>
  </si>
  <si>
    <t>Slot 1</t>
  </si>
  <si>
    <t>Slot 2</t>
  </si>
  <si>
    <t>Pen 1</t>
  </si>
  <si>
    <t>Pen 2</t>
  </si>
  <si>
    <t>32avos de final</t>
  </si>
  <si>
    <t>Cruce definido por posición de grupo (FIFA). Completar equipos al cerrar la fase de grupos.</t>
  </si>
  <si>
    <t>2º A</t>
  </si>
  <si>
    <t>2º B</t>
  </si>
  <si>
    <t>1º C</t>
  </si>
  <si>
    <t>2º F</t>
  </si>
  <si>
    <t>Paraguay</t>
  </si>
  <si>
    <t>1º E</t>
  </si>
  <si>
    <t>3º A/B/C/D/F</t>
  </si>
  <si>
    <t>1º F</t>
  </si>
  <si>
    <t>2º C</t>
  </si>
  <si>
    <t>2º E</t>
  </si>
  <si>
    <t>2º I</t>
  </si>
  <si>
    <t>Suecia</t>
  </si>
  <si>
    <t>1º I</t>
  </si>
  <si>
    <t>3º C/D/F/G/H</t>
  </si>
  <si>
    <t>Ecuador</t>
  </si>
  <si>
    <t>1º A</t>
  </si>
  <si>
    <t>3º C/E/F/H/I</t>
  </si>
  <si>
    <t>RD Congo</t>
  </si>
  <si>
    <t>1º L</t>
  </si>
  <si>
    <t>3º E/H/I/J/K</t>
  </si>
  <si>
    <t>Senegal</t>
  </si>
  <si>
    <t>1º G</t>
  </si>
  <si>
    <t>3º A/E/H/I/J</t>
  </si>
  <si>
    <t>Bosnia y Herzegovina</t>
  </si>
  <si>
    <t>1º D</t>
  </si>
  <si>
    <t>3º B/E/F/I/J</t>
  </si>
  <si>
    <t>1º H</t>
  </si>
  <si>
    <t>2º J</t>
  </si>
  <si>
    <t>2º K</t>
  </si>
  <si>
    <t>2º L</t>
  </si>
  <si>
    <t>Argelia</t>
  </si>
  <si>
    <t>1º B</t>
  </si>
  <si>
    <t>3º E/F/G/I/J</t>
  </si>
  <si>
    <t>2º D</t>
  </si>
  <si>
    <t>2º G</t>
  </si>
  <si>
    <t>1º J</t>
  </si>
  <si>
    <t>2º H</t>
  </si>
  <si>
    <t>Ghana</t>
  </si>
  <si>
    <t>1º K</t>
  </si>
  <si>
    <t>3º D/E/I/J/L</t>
  </si>
  <si>
    <t>16avos de final</t>
  </si>
  <si>
    <t>Resultado real cargado (prensa, jul-2026).</t>
  </si>
  <si>
    <t>Equipo definido por formula (ganador de la ronda anterior); se actualiza solo al cargar goles.</t>
  </si>
  <si>
    <t>Cuartos de final</t>
  </si>
  <si>
    <t>Semifinales</t>
  </si>
  <si>
    <t>Tercer puesto</t>
  </si>
  <si>
    <t>Final</t>
  </si>
  <si>
    <t>32 equipos: 2 mejores de cada grupo + 8 mejores terceros. Los cruces de 32avos dependen de qué grupos aportan los terceros (tabla FIFA).</t>
  </si>
  <si>
    <t>Mundial 2026 — Fuente de datos</t>
  </si>
  <si>
    <t>Corte de resultados</t>
  </si>
  <si>
    <t>Cargados 54 resultados de fase de grupos (marcador exacto): fechas 1 y 2 completas de los 12 grupos + parte de la fecha 3. El resto se simula. Variables curadas agregadas: puntaje de DT, clasificatorias ponderadas por confederacion y % de jugadores en top-5 ligas (estimaciones ~early-2026). Fuente resultados: Yahoo Sports / Wikipedia por grupo.</t>
  </si>
  <si>
    <t>Qué es</t>
  </si>
  <si>
    <t>Planilla de datos estadísticos del Mundial 2026 (USA/México/Canadá, 48 selecciones). Pensada como fuente para que vos hagas tu propio análisis. NO contiene predicciones, modelos, ratings ni probabilidades: solo datos y agregaciones descriptivas de los resultados que cargues.</t>
  </si>
  <si>
    <t>Hojas</t>
  </si>
  <si>
    <t xml:space="preserve">  Selecciones</t>
  </si>
  <si>
    <t>Las 48 selecciones con grupo, confederación, ranking y puntos FIFA, sede, debutante y títulos.</t>
  </si>
  <si>
    <t xml:space="preserve">  Clasificatorias</t>
  </si>
  <si>
    <t>Plantilla para cargar el rendimiento de cada selección en sus eliminatorias (PJ, PG, PE, PP, GF, GC). Las columnas derivadas (Pts, DG, %Pts, GF/PJ) se calculan solas.</t>
  </si>
  <si>
    <t xml:space="preserve">  Predictores_país</t>
  </si>
  <si>
    <t>Plantilla para cargar variables de país/plantel que pueden servir como predictores (población, PIB, PIB per cápita, valor de plantel, etc.). Con fuentes sugeridas.</t>
  </si>
  <si>
    <t xml:space="preserve">  Fixture_Grupos</t>
  </si>
  <si>
    <t>Los 72 partidos de la fase de grupos. Cargás Goles_A y Goles_B; el resto se completa solo.</t>
  </si>
  <si>
    <t xml:space="preserve">  Posiciones</t>
  </si>
  <si>
    <t>Tabla de cada grupo. Se calcula automáticamente a partir de lo que cargás en Fixture_Grupos.</t>
  </si>
  <si>
    <t xml:space="preserve">  Eliminatorias</t>
  </si>
  <si>
    <t>Plantilla del cuadro final (32avos → final) para cargar a mano a medida que se define.</t>
  </si>
  <si>
    <t>Código de colores</t>
  </si>
  <si>
    <t xml:space="preserve">  Azul</t>
  </si>
  <si>
    <t>Celdas de entrada: las completás vos (resultados, datos de país).</t>
  </si>
  <si>
    <t xml:space="preserve">  Amarillo</t>
  </si>
  <si>
    <t>Datos a completar / verificar (p. ej. puntos FIFA de 11 selecciones que no pude cerrar).</t>
  </si>
  <si>
    <t xml:space="preserve">  Verde</t>
  </si>
  <si>
    <t>Valores traídos por fórmula desde otra hoja.</t>
  </si>
  <si>
    <t xml:space="preserve">  Negro</t>
  </si>
  <si>
    <t>Cálculos / fórmulas.</t>
  </si>
  <si>
    <t>Sin inferencia</t>
  </si>
  <si>
    <t>Las 'Posiciones' son una agregación contable de los resultados cargados, no una predicción. El orden dentro del grupo usa (Pts, DG, GF); el desempate oficial de FIFA usa primero el head-to-head, así que tomalo como ordenamiento provisional.</t>
  </si>
  <si>
    <t>Fuentes</t>
  </si>
  <si>
    <t xml:space="preserve">  Grupos y formato</t>
  </si>
  <si>
    <t>Wikipedia — 2026 FIFA World Cup draw / 2026 FIFA World Cup (consultado 24-jun-2026).</t>
  </si>
  <si>
    <t xml:space="preserve">  Ranking FIFA</t>
  </si>
  <si>
    <t>Foto del 19-nov-2025 (la usada para el sorteo). Fuente: football-ranking.com (replica el ranking FIFA/Coca-Cola). Oficial: https://inside.fifa.com/fifa-world-ranking/men</t>
  </si>
  <si>
    <t xml:space="preserve">  Puntos a completar</t>
  </si>
  <si>
    <t>11 selecciones sin punto exacto cargado: Sudáfrica, Bosnia y Herzegovina, Haití, Curazao, Nueva Zelanda, Cabo Verde, Arabia Saudita, Irak, Uzbekistán, Jordania, Ghana. Completá desde la fuente FIFA del 19-nov-2025.</t>
  </si>
  <si>
    <t>Wikipedia — 2026 FIFA World Cup qualification (por confederación) / RSSSF.</t>
  </si>
  <si>
    <t xml:space="preserve">  Datos de país</t>
  </si>
  <si>
    <t>Población y PIB: Banco Mundial (data.worldbank.org). Valor de plantel: Transfermarkt.</t>
  </si>
  <si>
    <t>Nota</t>
  </si>
  <si>
    <t>El ranking del 19-nov-2025 es una foto previa al torneo (limpia de resultados del Mundial). Si preferís una más reciente, está la del 01-abr-2026 y 11-jun-2026 en la misma fuente.</t>
  </si>
  <si>
    <t xml:space="preserve">  Historial</t>
  </si>
  <si>
    <t>Historial mundialista de las 48: apariciones (incl. 2026), debut, mejor resultado, títulos/subcampeonatos/3os puestos y récord histórico acumulado (PJ, PG, PE, PP, GF, GC hasta 2022). VERIFICADO.</t>
  </si>
  <si>
    <t xml:space="preserve">  DTs</t>
  </si>
  <si>
    <t>Entrenador de cada selección: nombre, nacionalidad, año de asunción, cargo anterior y trayectoria. VERIFICADO (amarillo = cambio reciente a confirmar).</t>
  </si>
  <si>
    <t>Selecciones participantes — Mundial 2026</t>
  </si>
  <si>
    <t>N°</t>
  </si>
  <si>
    <t>País</t>
  </si>
  <si>
    <t>Cód.</t>
  </si>
  <si>
    <t>Grupo</t>
  </si>
  <si>
    <t>Pos. grupo</t>
  </si>
  <si>
    <t>Confederación</t>
  </si>
  <si>
    <t>Ranking FIFA (19-nov-25)</t>
  </si>
  <si>
    <t>Puntos FIFA (19-nov-25)</t>
  </si>
  <si>
    <t>Debutante</t>
  </si>
  <si>
    <t>Títulos mundiales</t>
  </si>
  <si>
    <t>México</t>
  </si>
  <si>
    <t>MEX</t>
  </si>
  <si>
    <t>A</t>
  </si>
  <si>
    <t>CONCACAF</t>
  </si>
  <si>
    <t>Sí</t>
  </si>
  <si>
    <t>No</t>
  </si>
  <si>
    <t>Sudáfrica</t>
  </si>
  <si>
    <t>RSA</t>
  </si>
  <si>
    <t>CAF</t>
  </si>
  <si>
    <t>Corea del Sur</t>
  </si>
  <si>
    <t>KOR</t>
  </si>
  <si>
    <t>AFC</t>
  </si>
  <si>
    <t>Chequia</t>
  </si>
  <si>
    <t>CZE</t>
  </si>
  <si>
    <t>UEFA</t>
  </si>
  <si>
    <t>Canadá</t>
  </si>
  <si>
    <t>CAN</t>
  </si>
  <si>
    <t>B</t>
  </si>
  <si>
    <t>BIH</t>
  </si>
  <si>
    <t>Catar</t>
  </si>
  <si>
    <t>QAT</t>
  </si>
  <si>
    <t>Suiza</t>
  </si>
  <si>
    <t>SUI</t>
  </si>
  <si>
    <t>Brasil</t>
  </si>
  <si>
    <t>BRA</t>
  </si>
  <si>
    <t>C</t>
  </si>
  <si>
    <t>CONMEBOL</t>
  </si>
  <si>
    <t>Marruecos</t>
  </si>
  <si>
    <t>MAR</t>
  </si>
  <si>
    <t>Haití</t>
  </si>
  <si>
    <t>HAI</t>
  </si>
  <si>
    <t>Escocia</t>
  </si>
  <si>
    <t>SCO</t>
  </si>
  <si>
    <t>Estados Unidos</t>
  </si>
  <si>
    <t>USA</t>
  </si>
  <si>
    <t>D</t>
  </si>
  <si>
    <t>PAR</t>
  </si>
  <si>
    <t>Australia</t>
  </si>
  <si>
    <t>AUS</t>
  </si>
  <si>
    <t>Turquía</t>
  </si>
  <si>
    <t>TUR</t>
  </si>
  <si>
    <t>Alemania</t>
  </si>
  <si>
    <t>GER</t>
  </si>
  <si>
    <t>E</t>
  </si>
  <si>
    <t>Curazao</t>
  </si>
  <si>
    <t>CUW</t>
  </si>
  <si>
    <t>Costa de Marfil</t>
  </si>
  <si>
    <t>CIV</t>
  </si>
  <si>
    <t>ECU</t>
  </si>
  <si>
    <t>Países Bajos</t>
  </si>
  <si>
    <t>NED</t>
  </si>
  <si>
    <t>F</t>
  </si>
  <si>
    <t>Japón</t>
  </si>
  <si>
    <t>JPN</t>
  </si>
  <si>
    <t>SWE</t>
  </si>
  <si>
    <t>Túnez</t>
  </si>
  <si>
    <t>TUN</t>
  </si>
  <si>
    <t>Bélgica</t>
  </si>
  <si>
    <t>BEL</t>
  </si>
  <si>
    <t>G</t>
  </si>
  <si>
    <t>Egipto</t>
  </si>
  <si>
    <t>EGY</t>
  </si>
  <si>
    <t>Irán</t>
  </si>
  <si>
    <t>IRN</t>
  </si>
  <si>
    <t>Nueva Zelanda</t>
  </si>
  <si>
    <t>NZL</t>
  </si>
  <si>
    <t>OFC</t>
  </si>
  <si>
    <t>España</t>
  </si>
  <si>
    <t>ESP</t>
  </si>
  <si>
    <t>H</t>
  </si>
  <si>
    <t>Cabo Verde</t>
  </si>
  <si>
    <t>CPV</t>
  </si>
  <si>
    <t>Arabia Saudita</t>
  </si>
  <si>
    <t>KSA</t>
  </si>
  <si>
    <t>Uruguay</t>
  </si>
  <si>
    <t>URU</t>
  </si>
  <si>
    <t>Francia</t>
  </si>
  <si>
    <t>FRA</t>
  </si>
  <si>
    <t>I</t>
  </si>
  <si>
    <t>SEN</t>
  </si>
  <si>
    <t>Irak</t>
  </si>
  <si>
    <t>IRQ</t>
  </si>
  <si>
    <t>Noruega</t>
  </si>
  <si>
    <t>NOR</t>
  </si>
  <si>
    <t>Argentina</t>
  </si>
  <si>
    <t>ARG</t>
  </si>
  <si>
    <t>J</t>
  </si>
  <si>
    <t>ALG</t>
  </si>
  <si>
    <t>Austria</t>
  </si>
  <si>
    <t>AUT</t>
  </si>
  <si>
    <t>Jordania</t>
  </si>
  <si>
    <t>JOR</t>
  </si>
  <si>
    <t>Portugal</t>
  </si>
  <si>
    <t>POR</t>
  </si>
  <si>
    <t>K</t>
  </si>
  <si>
    <t>COD</t>
  </si>
  <si>
    <t>Uzbekistán</t>
  </si>
  <si>
    <t>UZB</t>
  </si>
  <si>
    <t>Colombia</t>
  </si>
  <si>
    <t>COL</t>
  </si>
  <si>
    <t>Inglaterra</t>
  </si>
  <si>
    <t>ENG</t>
  </si>
  <si>
    <t>L</t>
  </si>
  <si>
    <t>Croacia</t>
  </si>
  <si>
    <t>CRO</t>
  </si>
  <si>
    <t>GHA</t>
  </si>
  <si>
    <t>Panamá</t>
  </si>
  <si>
    <t>PAN</t>
  </si>
  <si>
    <t>Fuente ranking: FIFA/Coca-Cola 19-nov-2025 (foto del sorteo). Celdas amarillas = puntos a completar. Confederación, sede, debutante y títulos verificados.</t>
  </si>
  <si>
    <t>Historial mundialista por selección  (apariciones incl. 2026; récord histórico acumulado hasta 2022)</t>
  </si>
  <si>
    <t>Conf.</t>
  </si>
  <si>
    <t>Aparic.
(incl. 2026)</t>
  </si>
  <si>
    <t>Debut</t>
  </si>
  <si>
    <t>Mejor resultado (hist.)</t>
  </si>
  <si>
    <t>Títulos</t>
  </si>
  <si>
    <t>Subcamp.</t>
  </si>
  <si>
    <t>3er puesto</t>
  </si>
  <si>
    <t>PJ</t>
  </si>
  <si>
    <t>PG</t>
  </si>
  <si>
    <t>PE</t>
  </si>
  <si>
    <t>PP</t>
  </si>
  <si>
    <t>GF</t>
  </si>
  <si>
    <t>GC</t>
  </si>
  <si>
    <t>DG</t>
  </si>
  <si>
    <t>Pts (3-1-0)</t>
  </si>
  <si>
    <t>% Vict.</t>
  </si>
  <si>
    <t>Cuartos de final (1970, 1986)</t>
  </si>
  <si>
    <t>Fase de grupos</t>
  </si>
  <si>
    <t>Cuarto puesto (2002)</t>
  </si>
  <si>
    <t>Subcampeón (1934, 1962)</t>
  </si>
  <si>
    <t>Cuartos de final (1934, 1938, 1954)</t>
  </si>
  <si>
    <t>Campeón (1958, 1962, 1970, 1994, 2002)</t>
  </si>
  <si>
    <t>Cuarto puesto (2022)</t>
  </si>
  <si>
    <t>Tercer puesto (1930)</t>
  </si>
  <si>
    <t>Cuartos de final (2010)</t>
  </si>
  <si>
    <t>Octavos de final (2006, 2022)</t>
  </si>
  <si>
    <t>Tercer puesto (2002)</t>
  </si>
  <si>
    <t>Campeón (1954, 1974, 1990, 2014)</t>
  </si>
  <si>
    <t>Debuta en 2026</t>
  </si>
  <si>
    <t>Octavos de final (2006)</t>
  </si>
  <si>
    <t>Subcampeón (1974, 1978, 2010)</t>
  </si>
  <si>
    <t>Octavos de final (2002, 2010, 2018, 2022)</t>
  </si>
  <si>
    <t>Subcampeón (1958)</t>
  </si>
  <si>
    <t>Tercer puesto (2018)</t>
  </si>
  <si>
    <t>Octavos de final (1934)</t>
  </si>
  <si>
    <t>Campeón (2010)</t>
  </si>
  <si>
    <t>Octavos de final (1994)</t>
  </si>
  <si>
    <t>Campeón (1930, 1950)</t>
  </si>
  <si>
    <t>Campeón (1998, 2018)</t>
  </si>
  <si>
    <t>Cuartos de final (2002)</t>
  </si>
  <si>
    <t>Octavos de final (1938, 1998)</t>
  </si>
  <si>
    <t>Campeón (1978, 1986, 2022)</t>
  </si>
  <si>
    <t>Octavos de final (2014)</t>
  </si>
  <si>
    <t>Tercer puesto (1954)</t>
  </si>
  <si>
    <t>Tercer puesto (1966)</t>
  </si>
  <si>
    <t>Fase de grupos (como Zaire, 1974)</t>
  </si>
  <si>
    <t>Cuartos de final (2014)</t>
  </si>
  <si>
    <t>Campeón (1966)</t>
  </si>
  <si>
    <t>Subcampeón (2018)</t>
  </si>
  <si>
    <t>Apariciones incluyen 2026 (corregidas para Suecia, Bosnia, Turquía, Chequia, RD Congo e Irak, que clasificaron por repechaje en marzo-2026). Récord histórico (PJ…Pts) acumulado en fases finales hasta el Mundial 2022, no incluye 2026. Chequia incluye a Checoslovaquia; RD Congo incluye a Zaire (1974); Alemania incluye a Alemania Occidental. Fuente: Wikipedia 'National team appearances in the FIFA World Cup' (consultado 24-jun-2026).</t>
  </si>
  <si>
    <t>Entrenadores (DT) — Mundial 2026</t>
  </si>
  <si>
    <t>Director técnico</t>
  </si>
  <si>
    <t>Nacionalidad</t>
  </si>
  <si>
    <t>En el cargo desde</t>
  </si>
  <si>
    <t>Cargo anterior</t>
  </si>
  <si>
    <t>Trayectoria / notas</t>
  </si>
  <si>
    <t>Punt. selección (0-50)</t>
  </si>
  <si>
    <t>Punt. clubes (0-50)</t>
  </si>
  <si>
    <t>Puntaje DT (0-100)</t>
  </si>
  <si>
    <t>Javier Aguirre</t>
  </si>
  <si>
    <t>DT Mallorca</t>
  </si>
  <si>
    <t>Tercera etapa en México; dirigió en los Mundiales 1994, 2002 y 2010</t>
  </si>
  <si>
    <t>Hugo Broos</t>
  </si>
  <si>
    <t>DT KV Oostende</t>
  </si>
  <si>
    <t>Campeón de la Copa Africana 2017 con Camerún</t>
  </si>
  <si>
    <t>Hong Myung-bo</t>
  </si>
  <si>
    <t>DT Ulsan HD</t>
  </si>
  <si>
    <t>Exjugador; dirigió a Corea en el Mundial 2014</t>
  </si>
  <si>
    <t>Miroslav Koubek</t>
  </si>
  <si>
    <t>DT Viktoria Plzeň</t>
  </si>
  <si>
    <t>Jesse Marsch</t>
  </si>
  <si>
    <t>DT Leeds United</t>
  </si>
  <si>
    <t>Ex RB Leipzig y RB Salzburg</t>
  </si>
  <si>
    <t>Sergej Barbarez</t>
  </si>
  <si>
    <t>Exjugador / comentarista</t>
  </si>
  <si>
    <t>Primer cargo importante como DT</t>
  </si>
  <si>
    <t>Julen Lopetegui</t>
  </si>
  <si>
    <t>DT West Ham</t>
  </si>
  <si>
    <t>Exseleccionador de España; ex DT Real Madrid y Sevilla</t>
  </si>
  <si>
    <t>Murat Yakin</t>
  </si>
  <si>
    <t>DT Schaffhausen</t>
  </si>
  <si>
    <t>Carlo Ancelotti</t>
  </si>
  <si>
    <t>Italia</t>
  </si>
  <si>
    <t>DT Real Madrid</t>
  </si>
  <si>
    <t>5 Champions League como DT (récord); primer Mundial como entrenador</t>
  </si>
  <si>
    <t>Mohamed Ouahbi</t>
  </si>
  <si>
    <t>DT Marruecos sub-20</t>
  </si>
  <si>
    <t>Campeón del Mundial sub-20 2025; asumió tras la Copa Africana 2025</t>
  </si>
  <si>
    <t>Sébastien Migné</t>
  </si>
  <si>
    <t>Asistente de Camerún</t>
  </si>
  <si>
    <t>Clasificó a Haití sin pisar el país por el conflicto interno</t>
  </si>
  <si>
    <t>Steve Clarke</t>
  </si>
  <si>
    <t>DT Kilmarnock</t>
  </si>
  <si>
    <t>Ex asistente de Mourinho en Chelsea</t>
  </si>
  <si>
    <t>Mauricio Pochettino</t>
  </si>
  <si>
    <t>DT Chelsea</t>
  </si>
  <si>
    <t>Ex Tottenham y PSG</t>
  </si>
  <si>
    <t>Gustavo Alfaro</t>
  </si>
  <si>
    <t>DT selección de Costa Rica</t>
  </si>
  <si>
    <t>Tony Popovic</t>
  </si>
  <si>
    <t>DT Melbourne Victory</t>
  </si>
  <si>
    <t>Vincenzo Montella</t>
  </si>
  <si>
    <t>DT Adana Demirspor</t>
  </si>
  <si>
    <t>Exjugador de Roma; ex DT Milan y Fiorentina</t>
  </si>
  <si>
    <t>Julian Nagelsmann</t>
  </si>
  <si>
    <t>DT Bayern Múnich</t>
  </si>
  <si>
    <t>Ex RB Leipzig</t>
  </si>
  <si>
    <t>Dick Advocaat</t>
  </si>
  <si>
    <t>DT ADO Den Haag</t>
  </si>
  <si>
    <t>Veterano; dirigió múltiples selecciones (Países Bajos, Rusia, etc.)</t>
  </si>
  <si>
    <t>Emerse Faé</t>
  </si>
  <si>
    <t>Asistente de Costa de Marfil</t>
  </si>
  <si>
    <t>Campeón de la Copa Africana 2023</t>
  </si>
  <si>
    <t>Sebastián Beccacece</t>
  </si>
  <si>
    <t>DT Elche</t>
  </si>
  <si>
    <t>Ronald Koeman</t>
  </si>
  <si>
    <t>DT selección Países Bajos (1ª etapa)</t>
  </si>
  <si>
    <t>Único en jugar y dirigir a Ajax, PSV y Feyenoord</t>
  </si>
  <si>
    <t>Hajime Moriyasu</t>
  </si>
  <si>
    <t>DT Japón sub-23</t>
  </si>
  <si>
    <t>Dirigió a Japón en el Mundial 2022</t>
  </si>
  <si>
    <t>Graham Potter</t>
  </si>
  <si>
    <t>Ex Brighton</t>
  </si>
  <si>
    <t>Sami Trabelsi</t>
  </si>
  <si>
    <t>DT Al-Sailiya</t>
  </si>
  <si>
    <t>Cambio reciente en el banco tunecino</t>
  </si>
  <si>
    <t>Rudi Garcia</t>
  </si>
  <si>
    <t>DT Napoli</t>
  </si>
  <si>
    <t>Ex Roma, Marsella y Lyon</t>
  </si>
  <si>
    <t>Hossam Hassan</t>
  </si>
  <si>
    <t>DT Modern Future</t>
  </si>
  <si>
    <t>Máximo goleador histórico de Egipto como jugador</t>
  </si>
  <si>
    <t>Amir Ghalenoei</t>
  </si>
  <si>
    <t>DT Gol Gohar</t>
  </si>
  <si>
    <t>Segunda etapa al frente de Irán</t>
  </si>
  <si>
    <t>Darren Bazeley</t>
  </si>
  <si>
    <t>DT Nueva Zelanda sub-23</t>
  </si>
  <si>
    <t>Luis de la Fuente</t>
  </si>
  <si>
    <t>DT España sub-21</t>
  </si>
  <si>
    <t>Campeón de la UEFA Nations League 2023 y la Euro 2024</t>
  </si>
  <si>
    <t>Pedro Brito 'Bubista'</t>
  </si>
  <si>
    <t>DT de clubes</t>
  </si>
  <si>
    <t>Clasificó a Cabo Verde a su primer Mundial</t>
  </si>
  <si>
    <t>Giorgos Donis</t>
  </si>
  <si>
    <t>Grecia</t>
  </si>
  <si>
    <t>DT Al-Fateh</t>
  </si>
  <si>
    <t>Asumió en abril-2026 en reemplazo de Hervé Renard</t>
  </si>
  <si>
    <t>Marcelo Bielsa</t>
  </si>
  <si>
    <t>Exseleccionador de Argentina y Chile</t>
  </si>
  <si>
    <t>Didier Deschamps</t>
  </si>
  <si>
    <t>DT Marsella</t>
  </si>
  <si>
    <t>Campeón del Mundial 2018 y finalista 2022; última competencia en el cargo</t>
  </si>
  <si>
    <t>Pape Thiaw</t>
  </si>
  <si>
    <t>Asistente de Senegal</t>
  </si>
  <si>
    <t>Graham Arnold</t>
  </si>
  <si>
    <t>DT selección de Australia</t>
  </si>
  <si>
    <t>Dos etapas al frente de Australia</t>
  </si>
  <si>
    <t>Ståle Solbakken</t>
  </si>
  <si>
    <t>DT FC Copenhague</t>
  </si>
  <si>
    <t>Lionel Scaloni</t>
  </si>
  <si>
    <t>Asistente de Argentina</t>
  </si>
  <si>
    <t>Campeón del Mundial 2022 y de la Copa América 2021 y 2024</t>
  </si>
  <si>
    <t>Vladimir Petković</t>
  </si>
  <si>
    <t>DT selección de Suiza</t>
  </si>
  <si>
    <t>Ex DT de Lazio y Burdeos</t>
  </si>
  <si>
    <t>Ralf Rangnick</t>
  </si>
  <si>
    <t>DT interino Manchester United</t>
  </si>
  <si>
    <t>Referente del pressing alemán moderno</t>
  </si>
  <si>
    <t>Jamal Sellami</t>
  </si>
  <si>
    <t>DT Marruecos sub-23</t>
  </si>
  <si>
    <t>Clasificó a Jordania a su primer Mundial</t>
  </si>
  <si>
    <t>Roberto Martínez</t>
  </si>
  <si>
    <t>DT selección de Bélgica</t>
  </si>
  <si>
    <t>3er puesto en el Mundial 2018 con Bélgica</t>
  </si>
  <si>
    <t>Sébastien Desabre</t>
  </si>
  <si>
    <t>DT selección de Uganda</t>
  </si>
  <si>
    <t>Fabio Cannavaro</t>
  </si>
  <si>
    <t>DT Udinese</t>
  </si>
  <si>
    <t>Campeón del Mundial 2006 y Balón de Oro como jugador; primer Mundial como DT</t>
  </si>
  <si>
    <t>Néstor Lorenzo</t>
  </si>
  <si>
    <t>DT Melgar</t>
  </si>
  <si>
    <t>Siete años como asistente de Pékerman en Colombia</t>
  </si>
  <si>
    <t>Thomas Tuchel</t>
  </si>
  <si>
    <t>Campeón de la Champions 2021 con Chelsea</t>
  </si>
  <si>
    <t>Zlatko Dalić</t>
  </si>
  <si>
    <t>DT Al Ain</t>
  </si>
  <si>
    <t>Subcampeón del Mundial 2018 y 3er puesto 2022</t>
  </si>
  <si>
    <t>Carlos Queiroz</t>
  </si>
  <si>
    <t>Exseleccionador (Irán, Egipto, etc.)</t>
  </si>
  <si>
    <t>Asumió en abril-2026 tras la salida de Otto Addo; ex asistente del Man Utd</t>
  </si>
  <si>
    <t>Thomas Christiansen</t>
  </si>
  <si>
    <t>Asistente en Leeds United</t>
  </si>
  <si>
    <t>Clasificó a Panamá a su segundo Mundial</t>
  </si>
  <si>
    <t>Celdas amarillas = cambio de DT reciente (Ghana: Queiroz por Addo; Marruecos: Ouahbi por Regragui), verificar antes del torneo. Fuente: FIFPlay / Soccerphile / Bolavip (consultado 24-jun-2026). Más de la mitad de las 48 selecciones tienen DT extranjero.</t>
  </si>
  <si>
    <t>Clasificatorias / Eliminatorias — rendimiento por selección  (cargá PJ, PG, PE, PP, GF, GC)</t>
  </si>
  <si>
    <t>Pts</t>
  </si>
  <si>
    <t>% Pts</t>
  </si>
  <si>
    <t>GF/PJ</t>
  </si>
  <si>
    <t>GC/PJ</t>
  </si>
  <si>
    <t>Dificultad conf.</t>
  </si>
  <si>
    <t>Puntaje clasif. ponderado</t>
  </si>
  <si>
    <t>Cargá PJ/PG/PE/PP/GF/GC (amarillo). Pts=3·PG+PE; %Pts=Pts/(PJ·3). Fuente sugerida: Wikipedia 2026 FIFA World Cup qualification (por confederación) / RSSSF.</t>
  </si>
  <si>
    <t>Predictores de país / plantel  (plantilla — cargá tus datos)</t>
  </si>
  <si>
    <t>Población</t>
  </si>
  <si>
    <t>PIB (USD MM)</t>
  </si>
  <si>
    <t>PIB per cápita (USD)</t>
  </si>
  <si>
    <t>Valor plantel (€ MM)</t>
  </si>
  <si>
    <t>Edad prom. plantel</t>
  </si>
  <si>
    <t>Jug. en top-5 ligas</t>
  </si>
  <si>
    <t>Año de referencia</t>
  </si>
  <si>
    <t>Fuentes sugeridas — Población y PIB: Banco Mundial (data.worldbank.org). Valor de plantel y datos de jugadores: Transfermarkt. Anotá el año de referencia para mantener consistencia.</t>
  </si>
  <si>
    <t>Fixture fase de grupos — cargá Goles A y Goles B (azul)</t>
  </si>
  <si>
    <t>ID</t>
  </si>
  <si>
    <t>Jornada</t>
  </si>
  <si>
    <t>Equipo A</t>
  </si>
  <si>
    <t>Equipo B</t>
  </si>
  <si>
    <t>Goles A</t>
  </si>
  <si>
    <t>Goles B</t>
  </si>
  <si>
    <t>Jugado</t>
  </si>
  <si>
    <t>Pts A</t>
  </si>
  <si>
    <t>Pts B</t>
  </si>
  <si>
    <t>Tabla de posiciones — se calcula sola desde Fixture_Grupos</t>
  </si>
  <si>
    <t>Pos</t>
  </si>
  <si>
    <t>Orden prov.</t>
  </si>
  <si>
    <t>Orden provisional = (Pts, DG, GF). El desempate oficial de FIFA aplica primero los resultados entre los equipos empatados (head-to-head); usar como guía, no como tabla oficial.</t>
  </si>
  <si>
    <t>Sedes del Mundial 2026 (referencia: ciudad, país, estadio, altitud aprox. en m)</t>
  </si>
  <si>
    <t>Ciudad</t>
  </si>
  <si>
    <t>Estadio</t>
  </si>
  <si>
    <t>Altitud (m)</t>
  </si>
  <si>
    <t>Ciudad de México</t>
  </si>
  <si>
    <t>Estadio Azteca</t>
  </si>
  <si>
    <t>Guadalajara</t>
  </si>
  <si>
    <t>Estadio Akron</t>
  </si>
  <si>
    <t>Monterrey</t>
  </si>
  <si>
    <t>Estadio BBVA</t>
  </si>
  <si>
    <t>Toronto</t>
  </si>
  <si>
    <t>BMO Field</t>
  </si>
  <si>
    <t>Vancouver</t>
  </si>
  <si>
    <t>BC Place</t>
  </si>
  <si>
    <t>Nueva York/Nueva Jersey</t>
  </si>
  <si>
    <t>MetLife Stadium</t>
  </si>
  <si>
    <t>Dallas</t>
  </si>
  <si>
    <t>AT&amp;T Stadium</t>
  </si>
  <si>
    <t>Los Ángeles</t>
  </si>
  <si>
    <t>SoFi Stadium</t>
  </si>
  <si>
    <t>Kansas City</t>
  </si>
  <si>
    <t>Arrowhead Stadium</t>
  </si>
  <si>
    <t>Bahía de San Francisco</t>
  </si>
  <si>
    <t>Levi's Stadium</t>
  </si>
  <si>
    <t>Houston</t>
  </si>
  <si>
    <t>NRG Stadium</t>
  </si>
  <si>
    <t>Filadelfia</t>
  </si>
  <si>
    <t>Lincoln Financial Field</t>
  </si>
  <si>
    <t>Atlanta</t>
  </si>
  <si>
    <t>Mercedes-Benz Stadium</t>
  </si>
  <si>
    <t>Seattle</t>
  </si>
  <si>
    <t>Lumen Field</t>
  </si>
  <si>
    <t>Miami</t>
  </si>
  <si>
    <t>Hard Rock Stadium</t>
  </si>
  <si>
    <t>Boston</t>
  </si>
  <si>
    <t>Gillette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</si>
</sst>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FFFFFF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11"/>
      <color theme="1"/>
      <name val="Calibri"/>
      <scheme val="minor"/>
    </font>
    <font>
      <sz val="10"/>
      <color rgb="FF0000FF"/>
      <name val="Arial"/>
    </font>
    <font>
      <b/>
      <sz val="11"/>
      <color theme="1"/>
      <name val="Calibri"/>
    </font>
    <font>
      <sz val="10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EFF3FB"/>
        <bgColor rgb="FFEFF3FB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2"/>
  </cellStyleXfs>
  <cellXfs count="37">
    <xf numFmtId="0" fontId="0" fillId="0" borderId="0" xfId="0" applyBorder="1"/>
    <xf numFmtId="0" fontId="1" fillId="2" borderId="1" xfId="0" applyFont="1" applyFill="1" applyBorder="1"/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0" borderId="0" xfId="0" applyFont="1" applyBorder="1"/>
    <xf numFmtId="0" fontId="5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2" fontId="4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1" fontId="4" fillId="5" borderId="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0" fontId="8" fillId="0" borderId="0" xfId="0" applyFont="1" applyBorder="1"/>
    <xf numFmtId="0" fontId="4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/>
    </xf>
    <xf numFmtId="0" fontId="10" fillId="0" borderId="0" xfId="0" applyFont="1" applyBorder="1"/>
    <xf numFmtId="0" fontId="9" fillId="5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6" fillId="0" borderId="2" xfId="0" applyFont="1"/>
    <xf numFmtId="0" fontId="0" fillId="0" borderId="0" xfId="0" applyBorder="1"/>
    <xf numFmtId="0" fontId="2" fillId="2" borderId="2" xfId="0" applyFont="1" applyFill="1" applyAlignment="1">
      <alignment horizontal="left" vertical="center" wrapText="1"/>
    </xf>
    <xf numFmtId="0" fontId="2" fillId="2" borderId="2" xfId="0" applyFont="1" applyFill="1" applyAlignment="1">
      <alignment horizontal="left" vertical="center"/>
    </xf>
    <xf numFmtId="0" fontId="6" fillId="0" borderId="2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workbookViewId="0"/>
  </sheetViews>
  <sheetFormatPr baseColWidth="10" defaultColWidth="14.42578125" defaultRowHeight="15" customHeight="1" x14ac:dyDescent="0.25"/>
  <cols>
    <col min="1" max="1" width="3" customWidth="1"/>
    <col min="2" max="2" width="30" customWidth="1"/>
    <col min="3" max="3" width="95" customWidth="1"/>
    <col min="4" max="26" width="8.7109375" customWidth="1"/>
  </cols>
  <sheetData>
    <row r="1" spans="1:3" ht="25.5" customHeight="1" x14ac:dyDescent="0.25">
      <c r="A1" s="1"/>
      <c r="B1" s="34" t="s">
        <v>63</v>
      </c>
      <c r="C1" s="33"/>
    </row>
    <row r="2" spans="1:3" ht="43.5" customHeight="1" x14ac:dyDescent="0.25">
      <c r="B2" s="2" t="s">
        <v>64</v>
      </c>
      <c r="C2" s="3" t="s">
        <v>65</v>
      </c>
    </row>
    <row r="3" spans="1:3" ht="30" customHeight="1" x14ac:dyDescent="0.25">
      <c r="B3" s="2" t="s">
        <v>66</v>
      </c>
      <c r="C3" s="3" t="s">
        <v>67</v>
      </c>
    </row>
    <row r="4" spans="1:3" ht="15.75" customHeight="1" x14ac:dyDescent="0.25">
      <c r="B4" s="4" t="s">
        <v>68</v>
      </c>
      <c r="C4" s="5"/>
    </row>
    <row r="5" spans="1:3" ht="30" customHeight="1" x14ac:dyDescent="0.25">
      <c r="B5" s="2" t="s">
        <v>69</v>
      </c>
      <c r="C5" s="3" t="s">
        <v>70</v>
      </c>
    </row>
    <row r="6" spans="1:3" ht="30" customHeight="1" x14ac:dyDescent="0.25">
      <c r="B6" s="2" t="s">
        <v>71</v>
      </c>
      <c r="C6" s="3" t="s">
        <v>72</v>
      </c>
    </row>
    <row r="7" spans="1:3" ht="30" customHeight="1" x14ac:dyDescent="0.25">
      <c r="B7" s="2" t="s">
        <v>73</v>
      </c>
      <c r="C7" s="3" t="s">
        <v>74</v>
      </c>
    </row>
    <row r="8" spans="1:3" ht="15.75" customHeight="1" x14ac:dyDescent="0.25">
      <c r="B8" s="2" t="s">
        <v>75</v>
      </c>
      <c r="C8" s="3" t="s">
        <v>76</v>
      </c>
    </row>
    <row r="9" spans="1:3" ht="30" customHeight="1" x14ac:dyDescent="0.25">
      <c r="B9" s="2" t="s">
        <v>77</v>
      </c>
      <c r="C9" s="3" t="s">
        <v>78</v>
      </c>
    </row>
    <row r="10" spans="1:3" ht="15.75" customHeight="1" x14ac:dyDescent="0.25">
      <c r="B10" s="2" t="s">
        <v>79</v>
      </c>
      <c r="C10" s="3" t="s">
        <v>80</v>
      </c>
    </row>
    <row r="11" spans="1:3" ht="15.75" customHeight="1" x14ac:dyDescent="0.25">
      <c r="B11" s="4" t="s">
        <v>81</v>
      </c>
      <c r="C11" s="5"/>
    </row>
    <row r="12" spans="1:3" ht="15.75" customHeight="1" x14ac:dyDescent="0.25">
      <c r="B12" s="2" t="s">
        <v>82</v>
      </c>
      <c r="C12" s="3" t="s">
        <v>83</v>
      </c>
    </row>
    <row r="13" spans="1:3" ht="15.75" customHeight="1" x14ac:dyDescent="0.25">
      <c r="B13" s="2" t="s">
        <v>84</v>
      </c>
      <c r="C13" s="3" t="s">
        <v>85</v>
      </c>
    </row>
    <row r="14" spans="1:3" ht="15.75" customHeight="1" x14ac:dyDescent="0.25">
      <c r="B14" s="2" t="s">
        <v>86</v>
      </c>
      <c r="C14" s="3" t="s">
        <v>87</v>
      </c>
    </row>
    <row r="15" spans="1:3" ht="15.75" customHeight="1" x14ac:dyDescent="0.25">
      <c r="B15" s="2" t="s">
        <v>88</v>
      </c>
      <c r="C15" s="3" t="s">
        <v>89</v>
      </c>
    </row>
    <row r="16" spans="1:3" ht="30" customHeight="1" x14ac:dyDescent="0.25">
      <c r="B16" s="2" t="s">
        <v>90</v>
      </c>
      <c r="C16" s="3" t="s">
        <v>91</v>
      </c>
    </row>
    <row r="17" spans="2:3" ht="15.75" customHeight="1" x14ac:dyDescent="0.25">
      <c r="B17" s="4" t="s">
        <v>92</v>
      </c>
      <c r="C17" s="5"/>
    </row>
    <row r="18" spans="2:3" ht="15.75" customHeight="1" x14ac:dyDescent="0.25">
      <c r="B18" s="2" t="s">
        <v>93</v>
      </c>
      <c r="C18" s="3" t="s">
        <v>94</v>
      </c>
    </row>
    <row r="19" spans="2:3" ht="30" customHeight="1" x14ac:dyDescent="0.25">
      <c r="B19" s="2" t="s">
        <v>95</v>
      </c>
      <c r="C19" s="3" t="s">
        <v>96</v>
      </c>
    </row>
    <row r="20" spans="2:3" ht="30" customHeight="1" x14ac:dyDescent="0.25">
      <c r="B20" s="2" t="s">
        <v>97</v>
      </c>
      <c r="C20" s="3" t="s">
        <v>98</v>
      </c>
    </row>
    <row r="21" spans="2:3" ht="15.75" customHeight="1" x14ac:dyDescent="0.25">
      <c r="B21" s="2" t="s">
        <v>71</v>
      </c>
      <c r="C21" s="3" t="s">
        <v>99</v>
      </c>
    </row>
    <row r="22" spans="2:3" ht="15.75" customHeight="1" x14ac:dyDescent="0.25">
      <c r="B22" s="2" t="s">
        <v>100</v>
      </c>
      <c r="C22" s="3" t="s">
        <v>101</v>
      </c>
    </row>
    <row r="23" spans="2:3" ht="30" customHeight="1" x14ac:dyDescent="0.25">
      <c r="B23" s="2" t="s">
        <v>102</v>
      </c>
      <c r="C23" s="3" t="s">
        <v>103</v>
      </c>
    </row>
    <row r="24" spans="2:3" ht="30" customHeight="1" x14ac:dyDescent="0.25">
      <c r="B24" s="6" t="s">
        <v>104</v>
      </c>
      <c r="C24" s="3" t="s">
        <v>105</v>
      </c>
    </row>
    <row r="25" spans="2:3" ht="30" customHeight="1" x14ac:dyDescent="0.25">
      <c r="B25" s="6" t="s">
        <v>106</v>
      </c>
      <c r="C25" s="3" t="s">
        <v>107</v>
      </c>
    </row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C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5" customWidth="1"/>
    <col min="2" max="2" width="24" customWidth="1"/>
    <col min="3" max="4" width="7" customWidth="1"/>
    <col min="5" max="5" width="10" customWidth="1"/>
    <col min="6" max="8" width="14" customWidth="1"/>
    <col min="9" max="9" width="8" customWidth="1"/>
    <col min="10" max="10" width="11" customWidth="1"/>
    <col min="11" max="11" width="12" customWidth="1"/>
    <col min="12" max="26" width="8.7109375" customWidth="1"/>
  </cols>
  <sheetData>
    <row r="1" spans="1:11" ht="24" customHeight="1" x14ac:dyDescent="0.25">
      <c r="A1" s="34" t="s">
        <v>108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3.25" customHeight="1" x14ac:dyDescent="0.25">
      <c r="A2" s="7" t="s">
        <v>109</v>
      </c>
      <c r="B2" s="7" t="s">
        <v>110</v>
      </c>
      <c r="C2" s="7" t="s">
        <v>111</v>
      </c>
      <c r="D2" s="7" t="s">
        <v>112</v>
      </c>
      <c r="E2" s="7" t="s">
        <v>113</v>
      </c>
      <c r="F2" s="7" t="s">
        <v>114</v>
      </c>
      <c r="G2" s="7" t="s">
        <v>115</v>
      </c>
      <c r="H2" s="7" t="s">
        <v>116</v>
      </c>
      <c r="I2" s="7" t="s">
        <v>8</v>
      </c>
      <c r="J2" s="7" t="s">
        <v>117</v>
      </c>
      <c r="K2" s="7" t="s">
        <v>118</v>
      </c>
    </row>
    <row r="3" spans="1:11" ht="15" customHeight="1" x14ac:dyDescent="0.25">
      <c r="A3" s="8">
        <v>1</v>
      </c>
      <c r="B3" s="9" t="s">
        <v>119</v>
      </c>
      <c r="C3" s="8" t="s">
        <v>120</v>
      </c>
      <c r="D3" s="8" t="s">
        <v>121</v>
      </c>
      <c r="E3" s="8">
        <v>1</v>
      </c>
      <c r="F3" s="8" t="s">
        <v>122</v>
      </c>
      <c r="G3" s="8">
        <v>15</v>
      </c>
      <c r="H3" s="10">
        <v>1675.74</v>
      </c>
      <c r="I3" s="8" t="s">
        <v>123</v>
      </c>
      <c r="J3" s="8" t="s">
        <v>124</v>
      </c>
      <c r="K3" s="8">
        <v>0</v>
      </c>
    </row>
    <row r="4" spans="1:11" ht="15" customHeight="1" x14ac:dyDescent="0.25">
      <c r="A4" s="11">
        <v>2</v>
      </c>
      <c r="B4" s="12" t="s">
        <v>125</v>
      </c>
      <c r="C4" s="11" t="s">
        <v>126</v>
      </c>
      <c r="D4" s="11" t="s">
        <v>121</v>
      </c>
      <c r="E4" s="11">
        <v>2</v>
      </c>
      <c r="F4" s="11" t="s">
        <v>127</v>
      </c>
      <c r="G4" s="11">
        <v>61</v>
      </c>
      <c r="H4" s="13">
        <v>1427.3</v>
      </c>
      <c r="I4" s="11" t="s">
        <v>124</v>
      </c>
      <c r="J4" s="11" t="s">
        <v>124</v>
      </c>
      <c r="K4" s="11">
        <v>0</v>
      </c>
    </row>
    <row r="5" spans="1:11" ht="15" customHeight="1" x14ac:dyDescent="0.25">
      <c r="A5" s="8">
        <v>3</v>
      </c>
      <c r="B5" s="9" t="s">
        <v>128</v>
      </c>
      <c r="C5" s="8" t="s">
        <v>129</v>
      </c>
      <c r="D5" s="8" t="s">
        <v>121</v>
      </c>
      <c r="E5" s="8">
        <v>3</v>
      </c>
      <c r="F5" s="8" t="s">
        <v>130</v>
      </c>
      <c r="G5" s="8">
        <v>22</v>
      </c>
      <c r="H5" s="10">
        <v>1599.45</v>
      </c>
      <c r="I5" s="8" t="s">
        <v>124</v>
      </c>
      <c r="J5" s="8" t="s">
        <v>124</v>
      </c>
      <c r="K5" s="8">
        <v>0</v>
      </c>
    </row>
    <row r="6" spans="1:11" ht="15" customHeight="1" x14ac:dyDescent="0.25">
      <c r="A6" s="11">
        <v>4</v>
      </c>
      <c r="B6" s="12" t="s">
        <v>131</v>
      </c>
      <c r="C6" s="11" t="s">
        <v>132</v>
      </c>
      <c r="D6" s="11" t="s">
        <v>121</v>
      </c>
      <c r="E6" s="11">
        <v>4</v>
      </c>
      <c r="F6" s="11" t="s">
        <v>133</v>
      </c>
      <c r="G6" s="11">
        <v>44</v>
      </c>
      <c r="H6" s="13">
        <v>1487</v>
      </c>
      <c r="I6" s="11" t="s">
        <v>124</v>
      </c>
      <c r="J6" s="11" t="s">
        <v>124</v>
      </c>
      <c r="K6" s="11">
        <v>0</v>
      </c>
    </row>
    <row r="7" spans="1:11" ht="15" customHeight="1" x14ac:dyDescent="0.25">
      <c r="A7" s="8">
        <v>5</v>
      </c>
      <c r="B7" s="9" t="s">
        <v>134</v>
      </c>
      <c r="C7" s="8" t="s">
        <v>135</v>
      </c>
      <c r="D7" s="8" t="s">
        <v>136</v>
      </c>
      <c r="E7" s="8">
        <v>1</v>
      </c>
      <c r="F7" s="8" t="s">
        <v>122</v>
      </c>
      <c r="G7" s="8">
        <v>27</v>
      </c>
      <c r="H7" s="10">
        <v>1559.16</v>
      </c>
      <c r="I7" s="8" t="s">
        <v>123</v>
      </c>
      <c r="J7" s="8" t="s">
        <v>124</v>
      </c>
      <c r="K7" s="8">
        <v>0</v>
      </c>
    </row>
    <row r="8" spans="1:11" ht="15" customHeight="1" x14ac:dyDescent="0.25">
      <c r="A8" s="11">
        <v>6</v>
      </c>
      <c r="B8" s="12" t="s">
        <v>38</v>
      </c>
      <c r="C8" s="11" t="s">
        <v>137</v>
      </c>
      <c r="D8" s="11" t="s">
        <v>136</v>
      </c>
      <c r="E8" s="11">
        <v>2</v>
      </c>
      <c r="F8" s="11" t="s">
        <v>133</v>
      </c>
      <c r="G8" s="11">
        <v>71</v>
      </c>
      <c r="H8" s="13">
        <v>1393.9</v>
      </c>
      <c r="I8" s="11" t="s">
        <v>124</v>
      </c>
      <c r="J8" s="11" t="s">
        <v>124</v>
      </c>
      <c r="K8" s="11">
        <v>0</v>
      </c>
    </row>
    <row r="9" spans="1:11" ht="15" customHeight="1" x14ac:dyDescent="0.25">
      <c r="A9" s="8">
        <v>7</v>
      </c>
      <c r="B9" s="9" t="s">
        <v>138</v>
      </c>
      <c r="C9" s="8" t="s">
        <v>139</v>
      </c>
      <c r="D9" s="8" t="s">
        <v>136</v>
      </c>
      <c r="E9" s="8">
        <v>3</v>
      </c>
      <c r="F9" s="8" t="s">
        <v>130</v>
      </c>
      <c r="G9" s="8">
        <v>51</v>
      </c>
      <c r="H9" s="10">
        <v>1461.6</v>
      </c>
      <c r="I9" s="8" t="s">
        <v>124</v>
      </c>
      <c r="J9" s="8" t="s">
        <v>124</v>
      </c>
      <c r="K9" s="8">
        <v>0</v>
      </c>
    </row>
    <row r="10" spans="1:11" ht="15" customHeight="1" x14ac:dyDescent="0.25">
      <c r="A10" s="11">
        <v>8</v>
      </c>
      <c r="B10" s="12" t="s">
        <v>140</v>
      </c>
      <c r="C10" s="11" t="s">
        <v>141</v>
      </c>
      <c r="D10" s="11" t="s">
        <v>136</v>
      </c>
      <c r="E10" s="11">
        <v>4</v>
      </c>
      <c r="F10" s="11" t="s">
        <v>133</v>
      </c>
      <c r="G10" s="11">
        <v>17</v>
      </c>
      <c r="H10" s="13">
        <v>1654.69</v>
      </c>
      <c r="I10" s="11" t="s">
        <v>124</v>
      </c>
      <c r="J10" s="11" t="s">
        <v>124</v>
      </c>
      <c r="K10" s="11">
        <v>0</v>
      </c>
    </row>
    <row r="11" spans="1:11" ht="15" customHeight="1" x14ac:dyDescent="0.25">
      <c r="A11" s="8">
        <v>9</v>
      </c>
      <c r="B11" s="9" t="s">
        <v>142</v>
      </c>
      <c r="C11" s="8" t="s">
        <v>143</v>
      </c>
      <c r="D11" s="8" t="s">
        <v>144</v>
      </c>
      <c r="E11" s="8">
        <v>1</v>
      </c>
      <c r="F11" s="8" t="s">
        <v>145</v>
      </c>
      <c r="G11" s="8">
        <v>5</v>
      </c>
      <c r="H11" s="10">
        <v>1760.46</v>
      </c>
      <c r="I11" s="8" t="s">
        <v>124</v>
      </c>
      <c r="J11" s="8" t="s">
        <v>124</v>
      </c>
      <c r="K11" s="8">
        <v>5</v>
      </c>
    </row>
    <row r="12" spans="1:11" ht="15" customHeight="1" x14ac:dyDescent="0.25">
      <c r="A12" s="11">
        <v>10</v>
      </c>
      <c r="B12" s="12" t="s">
        <v>146</v>
      </c>
      <c r="C12" s="11" t="s">
        <v>147</v>
      </c>
      <c r="D12" s="11" t="s">
        <v>144</v>
      </c>
      <c r="E12" s="11">
        <v>2</v>
      </c>
      <c r="F12" s="11" t="s">
        <v>127</v>
      </c>
      <c r="G12" s="11">
        <v>11</v>
      </c>
      <c r="H12" s="13">
        <v>1713.12</v>
      </c>
      <c r="I12" s="11" t="s">
        <v>124</v>
      </c>
      <c r="J12" s="11" t="s">
        <v>124</v>
      </c>
      <c r="K12" s="11">
        <v>0</v>
      </c>
    </row>
    <row r="13" spans="1:11" ht="15" customHeight="1" x14ac:dyDescent="0.25">
      <c r="A13" s="8">
        <v>11</v>
      </c>
      <c r="B13" s="9" t="s">
        <v>148</v>
      </c>
      <c r="C13" s="8" t="s">
        <v>149</v>
      </c>
      <c r="D13" s="8" t="s">
        <v>144</v>
      </c>
      <c r="E13" s="8">
        <v>3</v>
      </c>
      <c r="F13" s="8" t="s">
        <v>122</v>
      </c>
      <c r="G13" s="8">
        <v>84</v>
      </c>
      <c r="H13" s="14">
        <v>1350.5</v>
      </c>
      <c r="I13" s="8" t="s">
        <v>124</v>
      </c>
      <c r="J13" s="8" t="s">
        <v>124</v>
      </c>
      <c r="K13" s="8">
        <v>0</v>
      </c>
    </row>
    <row r="14" spans="1:11" ht="15" customHeight="1" x14ac:dyDescent="0.25">
      <c r="A14" s="11">
        <v>12</v>
      </c>
      <c r="B14" s="12" t="s">
        <v>150</v>
      </c>
      <c r="C14" s="11" t="s">
        <v>151</v>
      </c>
      <c r="D14" s="11" t="s">
        <v>144</v>
      </c>
      <c r="E14" s="11">
        <v>4</v>
      </c>
      <c r="F14" s="11" t="s">
        <v>133</v>
      </c>
      <c r="G14" s="11">
        <v>36</v>
      </c>
      <c r="H14" s="13">
        <v>1506.77</v>
      </c>
      <c r="I14" s="11" t="s">
        <v>124</v>
      </c>
      <c r="J14" s="11" t="s">
        <v>124</v>
      </c>
      <c r="K14" s="11">
        <v>0</v>
      </c>
    </row>
    <row r="15" spans="1:11" ht="15" customHeight="1" x14ac:dyDescent="0.25">
      <c r="A15" s="8">
        <v>13</v>
      </c>
      <c r="B15" s="9" t="s">
        <v>152</v>
      </c>
      <c r="C15" s="8" t="s">
        <v>153</v>
      </c>
      <c r="D15" s="8" t="s">
        <v>154</v>
      </c>
      <c r="E15" s="8">
        <v>1</v>
      </c>
      <c r="F15" s="8" t="s">
        <v>122</v>
      </c>
      <c r="G15" s="8">
        <v>14</v>
      </c>
      <c r="H15" s="10">
        <v>1681.88</v>
      </c>
      <c r="I15" s="8" t="s">
        <v>123</v>
      </c>
      <c r="J15" s="8" t="s">
        <v>124</v>
      </c>
      <c r="K15" s="8">
        <v>0</v>
      </c>
    </row>
    <row r="16" spans="1:11" ht="15" customHeight="1" x14ac:dyDescent="0.25">
      <c r="A16" s="11">
        <v>14</v>
      </c>
      <c r="B16" s="12" t="s">
        <v>19</v>
      </c>
      <c r="C16" s="11" t="s">
        <v>155</v>
      </c>
      <c r="D16" s="11" t="s">
        <v>154</v>
      </c>
      <c r="E16" s="11">
        <v>2</v>
      </c>
      <c r="F16" s="11" t="s">
        <v>145</v>
      </c>
      <c r="G16" s="11">
        <v>39</v>
      </c>
      <c r="H16" s="13">
        <v>1501.5</v>
      </c>
      <c r="I16" s="11" t="s">
        <v>124</v>
      </c>
      <c r="J16" s="11" t="s">
        <v>124</v>
      </c>
      <c r="K16" s="11">
        <v>0</v>
      </c>
    </row>
    <row r="17" spans="1:11" ht="15" customHeight="1" x14ac:dyDescent="0.25">
      <c r="A17" s="8">
        <v>15</v>
      </c>
      <c r="B17" s="9" t="s">
        <v>156</v>
      </c>
      <c r="C17" s="8" t="s">
        <v>157</v>
      </c>
      <c r="D17" s="8" t="s">
        <v>154</v>
      </c>
      <c r="E17" s="8">
        <v>3</v>
      </c>
      <c r="F17" s="8" t="s">
        <v>130</v>
      </c>
      <c r="G17" s="8">
        <v>26</v>
      </c>
      <c r="H17" s="10">
        <v>1574.01</v>
      </c>
      <c r="I17" s="8" t="s">
        <v>124</v>
      </c>
      <c r="J17" s="8" t="s">
        <v>124</v>
      </c>
      <c r="K17" s="8">
        <v>0</v>
      </c>
    </row>
    <row r="18" spans="1:11" ht="15" customHeight="1" x14ac:dyDescent="0.25">
      <c r="A18" s="11">
        <v>16</v>
      </c>
      <c r="B18" s="12" t="s">
        <v>158</v>
      </c>
      <c r="C18" s="11" t="s">
        <v>159</v>
      </c>
      <c r="D18" s="11" t="s">
        <v>154</v>
      </c>
      <c r="E18" s="11">
        <v>4</v>
      </c>
      <c r="F18" s="11" t="s">
        <v>133</v>
      </c>
      <c r="G18" s="11">
        <v>25</v>
      </c>
      <c r="H18" s="13">
        <v>1582.69</v>
      </c>
      <c r="I18" s="11" t="s">
        <v>124</v>
      </c>
      <c r="J18" s="11" t="s">
        <v>124</v>
      </c>
      <c r="K18" s="11">
        <v>0</v>
      </c>
    </row>
    <row r="19" spans="1:11" ht="15" customHeight="1" x14ac:dyDescent="0.25">
      <c r="A19" s="8">
        <v>17</v>
      </c>
      <c r="B19" s="9" t="s">
        <v>160</v>
      </c>
      <c r="C19" s="8" t="s">
        <v>161</v>
      </c>
      <c r="D19" s="8" t="s">
        <v>162</v>
      </c>
      <c r="E19" s="8">
        <v>1</v>
      </c>
      <c r="F19" s="8" t="s">
        <v>133</v>
      </c>
      <c r="G19" s="8">
        <v>9</v>
      </c>
      <c r="H19" s="10">
        <v>1724.14</v>
      </c>
      <c r="I19" s="8" t="s">
        <v>124</v>
      </c>
      <c r="J19" s="8" t="s">
        <v>124</v>
      </c>
      <c r="K19" s="8">
        <v>4</v>
      </c>
    </row>
    <row r="20" spans="1:11" ht="15" customHeight="1" x14ac:dyDescent="0.25">
      <c r="A20" s="11">
        <v>18</v>
      </c>
      <c r="B20" s="12" t="s">
        <v>163</v>
      </c>
      <c r="C20" s="11" t="s">
        <v>164</v>
      </c>
      <c r="D20" s="11" t="s">
        <v>162</v>
      </c>
      <c r="E20" s="11">
        <v>2</v>
      </c>
      <c r="F20" s="11" t="s">
        <v>122</v>
      </c>
      <c r="G20" s="11">
        <v>82</v>
      </c>
      <c r="H20" s="13">
        <v>1357.1</v>
      </c>
      <c r="I20" s="11" t="s">
        <v>124</v>
      </c>
      <c r="J20" s="11" t="s">
        <v>123</v>
      </c>
      <c r="K20" s="11">
        <v>0</v>
      </c>
    </row>
    <row r="21" spans="1:11" ht="15" customHeight="1" x14ac:dyDescent="0.25">
      <c r="A21" s="8">
        <v>19</v>
      </c>
      <c r="B21" s="9" t="s">
        <v>165</v>
      </c>
      <c r="C21" s="8" t="s">
        <v>166</v>
      </c>
      <c r="D21" s="8" t="s">
        <v>162</v>
      </c>
      <c r="E21" s="8">
        <v>3</v>
      </c>
      <c r="F21" s="8" t="s">
        <v>127</v>
      </c>
      <c r="G21" s="8">
        <v>42</v>
      </c>
      <c r="H21" s="10">
        <v>1489.59</v>
      </c>
      <c r="I21" s="8" t="s">
        <v>124</v>
      </c>
      <c r="J21" s="8" t="s">
        <v>124</v>
      </c>
      <c r="K21" s="8">
        <v>0</v>
      </c>
    </row>
    <row r="22" spans="1:11" ht="15" customHeight="1" x14ac:dyDescent="0.25">
      <c r="A22" s="11">
        <v>20</v>
      </c>
      <c r="B22" s="12" t="s">
        <v>29</v>
      </c>
      <c r="C22" s="11" t="s">
        <v>167</v>
      </c>
      <c r="D22" s="11" t="s">
        <v>162</v>
      </c>
      <c r="E22" s="11">
        <v>4</v>
      </c>
      <c r="F22" s="11" t="s">
        <v>145</v>
      </c>
      <c r="G22" s="11">
        <v>23</v>
      </c>
      <c r="H22" s="13">
        <v>1591.73</v>
      </c>
      <c r="I22" s="11" t="s">
        <v>124</v>
      </c>
      <c r="J22" s="11" t="s">
        <v>124</v>
      </c>
      <c r="K22" s="11">
        <v>0</v>
      </c>
    </row>
    <row r="23" spans="1:11" ht="15" customHeight="1" x14ac:dyDescent="0.25">
      <c r="A23" s="8">
        <v>21</v>
      </c>
      <c r="B23" s="9" t="s">
        <v>168</v>
      </c>
      <c r="C23" s="8" t="s">
        <v>169</v>
      </c>
      <c r="D23" s="8" t="s">
        <v>170</v>
      </c>
      <c r="E23" s="8">
        <v>1</v>
      </c>
      <c r="F23" s="8" t="s">
        <v>133</v>
      </c>
      <c r="G23" s="8">
        <v>7</v>
      </c>
      <c r="H23" s="10">
        <v>1756.26</v>
      </c>
      <c r="I23" s="8" t="s">
        <v>124</v>
      </c>
      <c r="J23" s="8" t="s">
        <v>124</v>
      </c>
      <c r="K23" s="8">
        <v>0</v>
      </c>
    </row>
    <row r="24" spans="1:11" ht="15" customHeight="1" x14ac:dyDescent="0.25">
      <c r="A24" s="11">
        <v>22</v>
      </c>
      <c r="B24" s="12" t="s">
        <v>171</v>
      </c>
      <c r="C24" s="11" t="s">
        <v>172</v>
      </c>
      <c r="D24" s="11" t="s">
        <v>170</v>
      </c>
      <c r="E24" s="11">
        <v>2</v>
      </c>
      <c r="F24" s="11" t="s">
        <v>130</v>
      </c>
      <c r="G24" s="11">
        <v>18</v>
      </c>
      <c r="H24" s="13">
        <v>1650.11</v>
      </c>
      <c r="I24" s="11" t="s">
        <v>124</v>
      </c>
      <c r="J24" s="11" t="s">
        <v>124</v>
      </c>
      <c r="K24" s="11">
        <v>0</v>
      </c>
    </row>
    <row r="25" spans="1:11" ht="15" customHeight="1" x14ac:dyDescent="0.25">
      <c r="A25" s="8">
        <v>23</v>
      </c>
      <c r="B25" s="9" t="s">
        <v>26</v>
      </c>
      <c r="C25" s="8" t="s">
        <v>173</v>
      </c>
      <c r="D25" s="8" t="s">
        <v>170</v>
      </c>
      <c r="E25" s="8">
        <v>3</v>
      </c>
      <c r="F25" s="8" t="s">
        <v>133</v>
      </c>
      <c r="G25" s="8">
        <v>43</v>
      </c>
      <c r="H25" s="10">
        <v>1487.13</v>
      </c>
      <c r="I25" s="8" t="s">
        <v>124</v>
      </c>
      <c r="J25" s="8" t="s">
        <v>124</v>
      </c>
      <c r="K25" s="8">
        <v>0</v>
      </c>
    </row>
    <row r="26" spans="1:11" ht="15" customHeight="1" x14ac:dyDescent="0.25">
      <c r="A26" s="11">
        <v>24</v>
      </c>
      <c r="B26" s="12" t="s">
        <v>174</v>
      </c>
      <c r="C26" s="11" t="s">
        <v>175</v>
      </c>
      <c r="D26" s="11" t="s">
        <v>170</v>
      </c>
      <c r="E26" s="11">
        <v>4</v>
      </c>
      <c r="F26" s="11" t="s">
        <v>127</v>
      </c>
      <c r="G26" s="11">
        <v>40</v>
      </c>
      <c r="H26" s="13">
        <v>1497.13</v>
      </c>
      <c r="I26" s="11" t="s">
        <v>124</v>
      </c>
      <c r="J26" s="11" t="s">
        <v>124</v>
      </c>
      <c r="K26" s="11">
        <v>0</v>
      </c>
    </row>
    <row r="27" spans="1:11" ht="15" customHeight="1" x14ac:dyDescent="0.25">
      <c r="A27" s="8">
        <v>25</v>
      </c>
      <c r="B27" s="9" t="s">
        <v>176</v>
      </c>
      <c r="C27" s="8" t="s">
        <v>177</v>
      </c>
      <c r="D27" s="8" t="s">
        <v>178</v>
      </c>
      <c r="E27" s="8">
        <v>1</v>
      </c>
      <c r="F27" s="8" t="s">
        <v>133</v>
      </c>
      <c r="G27" s="8">
        <v>8</v>
      </c>
      <c r="H27" s="10">
        <v>1730.71</v>
      </c>
      <c r="I27" s="8" t="s">
        <v>124</v>
      </c>
      <c r="J27" s="8" t="s">
        <v>124</v>
      </c>
      <c r="K27" s="8">
        <v>0</v>
      </c>
    </row>
    <row r="28" spans="1:11" ht="15" customHeight="1" x14ac:dyDescent="0.25">
      <c r="A28" s="11">
        <v>26</v>
      </c>
      <c r="B28" s="12" t="s">
        <v>179</v>
      </c>
      <c r="C28" s="11" t="s">
        <v>180</v>
      </c>
      <c r="D28" s="11" t="s">
        <v>178</v>
      </c>
      <c r="E28" s="11">
        <v>2</v>
      </c>
      <c r="F28" s="11" t="s">
        <v>127</v>
      </c>
      <c r="G28" s="11">
        <v>34</v>
      </c>
      <c r="H28" s="13">
        <v>1520.68</v>
      </c>
      <c r="I28" s="11" t="s">
        <v>124</v>
      </c>
      <c r="J28" s="11" t="s">
        <v>124</v>
      </c>
      <c r="K28" s="11">
        <v>0</v>
      </c>
    </row>
    <row r="29" spans="1:11" ht="15" customHeight="1" x14ac:dyDescent="0.25">
      <c r="A29" s="8">
        <v>27</v>
      </c>
      <c r="B29" s="9" t="s">
        <v>181</v>
      </c>
      <c r="C29" s="8" t="s">
        <v>182</v>
      </c>
      <c r="D29" s="8" t="s">
        <v>178</v>
      </c>
      <c r="E29" s="8">
        <v>3</v>
      </c>
      <c r="F29" s="8" t="s">
        <v>130</v>
      </c>
      <c r="G29" s="8">
        <v>20</v>
      </c>
      <c r="H29" s="10">
        <v>1617.03</v>
      </c>
      <c r="I29" s="8" t="s">
        <v>124</v>
      </c>
      <c r="J29" s="8" t="s">
        <v>124</v>
      </c>
      <c r="K29" s="8">
        <v>0</v>
      </c>
    </row>
    <row r="30" spans="1:11" ht="15" customHeight="1" x14ac:dyDescent="0.25">
      <c r="A30" s="11">
        <v>28</v>
      </c>
      <c r="B30" s="12" t="s">
        <v>183</v>
      </c>
      <c r="C30" s="11" t="s">
        <v>184</v>
      </c>
      <c r="D30" s="11" t="s">
        <v>178</v>
      </c>
      <c r="E30" s="11">
        <v>4</v>
      </c>
      <c r="F30" s="11" t="s">
        <v>185</v>
      </c>
      <c r="G30" s="11">
        <v>86</v>
      </c>
      <c r="H30" s="13">
        <v>1343.8</v>
      </c>
      <c r="I30" s="11" t="s">
        <v>124</v>
      </c>
      <c r="J30" s="11" t="s">
        <v>124</v>
      </c>
      <c r="K30" s="11">
        <v>0</v>
      </c>
    </row>
    <row r="31" spans="1:11" ht="15" customHeight="1" x14ac:dyDescent="0.25">
      <c r="A31" s="8">
        <v>29</v>
      </c>
      <c r="B31" s="9" t="s">
        <v>186</v>
      </c>
      <c r="C31" s="8" t="s">
        <v>187</v>
      </c>
      <c r="D31" s="8" t="s">
        <v>188</v>
      </c>
      <c r="E31" s="8">
        <v>1</v>
      </c>
      <c r="F31" s="8" t="s">
        <v>133</v>
      </c>
      <c r="G31" s="8">
        <v>1</v>
      </c>
      <c r="H31" s="10">
        <v>1877.17</v>
      </c>
      <c r="I31" s="8" t="s">
        <v>124</v>
      </c>
      <c r="J31" s="8" t="s">
        <v>124</v>
      </c>
      <c r="K31" s="8">
        <v>1</v>
      </c>
    </row>
    <row r="32" spans="1:11" ht="15" customHeight="1" x14ac:dyDescent="0.25">
      <c r="A32" s="11">
        <v>30</v>
      </c>
      <c r="B32" s="12" t="s">
        <v>189</v>
      </c>
      <c r="C32" s="11" t="s">
        <v>190</v>
      </c>
      <c r="D32" s="11" t="s">
        <v>188</v>
      </c>
      <c r="E32" s="11">
        <v>2</v>
      </c>
      <c r="F32" s="11" t="s">
        <v>127</v>
      </c>
      <c r="G32" s="11">
        <v>68</v>
      </c>
      <c r="H32" s="13">
        <v>1403.9</v>
      </c>
      <c r="I32" s="11" t="s">
        <v>124</v>
      </c>
      <c r="J32" s="11" t="s">
        <v>123</v>
      </c>
      <c r="K32" s="11">
        <v>0</v>
      </c>
    </row>
    <row r="33" spans="1:11" ht="15" customHeight="1" x14ac:dyDescent="0.25">
      <c r="A33" s="8">
        <v>31</v>
      </c>
      <c r="B33" s="9" t="s">
        <v>191</v>
      </c>
      <c r="C33" s="8" t="s">
        <v>192</v>
      </c>
      <c r="D33" s="8" t="s">
        <v>188</v>
      </c>
      <c r="E33" s="8">
        <v>3</v>
      </c>
      <c r="F33" s="8" t="s">
        <v>130</v>
      </c>
      <c r="G33" s="15">
        <v>60</v>
      </c>
      <c r="H33" s="14">
        <v>1430.6</v>
      </c>
      <c r="I33" s="8" t="s">
        <v>124</v>
      </c>
      <c r="J33" s="8" t="s">
        <v>124</v>
      </c>
      <c r="K33" s="8">
        <v>0</v>
      </c>
    </row>
    <row r="34" spans="1:11" ht="15" customHeight="1" x14ac:dyDescent="0.25">
      <c r="A34" s="11">
        <v>32</v>
      </c>
      <c r="B34" s="12" t="s">
        <v>193</v>
      </c>
      <c r="C34" s="11" t="s">
        <v>194</v>
      </c>
      <c r="D34" s="11" t="s">
        <v>188</v>
      </c>
      <c r="E34" s="11">
        <v>4</v>
      </c>
      <c r="F34" s="11" t="s">
        <v>145</v>
      </c>
      <c r="G34" s="11">
        <v>16</v>
      </c>
      <c r="H34" s="13">
        <v>1672.61</v>
      </c>
      <c r="I34" s="11" t="s">
        <v>124</v>
      </c>
      <c r="J34" s="11" t="s">
        <v>124</v>
      </c>
      <c r="K34" s="11">
        <v>2</v>
      </c>
    </row>
    <row r="35" spans="1:11" ht="15" customHeight="1" x14ac:dyDescent="0.25">
      <c r="A35" s="8">
        <v>33</v>
      </c>
      <c r="B35" s="9" t="s">
        <v>195</v>
      </c>
      <c r="C35" s="8" t="s">
        <v>196</v>
      </c>
      <c r="D35" s="8" t="s">
        <v>197</v>
      </c>
      <c r="E35" s="8">
        <v>1</v>
      </c>
      <c r="F35" s="8" t="s">
        <v>133</v>
      </c>
      <c r="G35" s="8">
        <v>3</v>
      </c>
      <c r="H35" s="10">
        <v>1870</v>
      </c>
      <c r="I35" s="8" t="s">
        <v>124</v>
      </c>
      <c r="J35" s="8" t="s">
        <v>124</v>
      </c>
      <c r="K35" s="8">
        <v>2</v>
      </c>
    </row>
    <row r="36" spans="1:11" ht="15" customHeight="1" x14ac:dyDescent="0.25">
      <c r="A36" s="11">
        <v>34</v>
      </c>
      <c r="B36" s="12" t="s">
        <v>35</v>
      </c>
      <c r="C36" s="11" t="s">
        <v>198</v>
      </c>
      <c r="D36" s="11" t="s">
        <v>197</v>
      </c>
      <c r="E36" s="11">
        <v>2</v>
      </c>
      <c r="F36" s="11" t="s">
        <v>127</v>
      </c>
      <c r="G36" s="11">
        <v>19</v>
      </c>
      <c r="H36" s="13">
        <v>1648.06</v>
      </c>
      <c r="I36" s="11" t="s">
        <v>124</v>
      </c>
      <c r="J36" s="11" t="s">
        <v>124</v>
      </c>
      <c r="K36" s="11">
        <v>0</v>
      </c>
    </row>
    <row r="37" spans="1:11" ht="15" customHeight="1" x14ac:dyDescent="0.25">
      <c r="A37" s="8">
        <v>35</v>
      </c>
      <c r="B37" s="9" t="s">
        <v>199</v>
      </c>
      <c r="C37" s="8" t="s">
        <v>200</v>
      </c>
      <c r="D37" s="8" t="s">
        <v>197</v>
      </c>
      <c r="E37" s="8">
        <v>3</v>
      </c>
      <c r="F37" s="8" t="s">
        <v>130</v>
      </c>
      <c r="G37" s="15">
        <v>58</v>
      </c>
      <c r="H37" s="14">
        <v>1437.3</v>
      </c>
      <c r="I37" s="8" t="s">
        <v>124</v>
      </c>
      <c r="J37" s="8" t="s">
        <v>124</v>
      </c>
      <c r="K37" s="8">
        <v>0</v>
      </c>
    </row>
    <row r="38" spans="1:11" ht="15" customHeight="1" x14ac:dyDescent="0.25">
      <c r="A38" s="11">
        <v>36</v>
      </c>
      <c r="B38" s="12" t="s">
        <v>201</v>
      </c>
      <c r="C38" s="11" t="s">
        <v>202</v>
      </c>
      <c r="D38" s="11" t="s">
        <v>197</v>
      </c>
      <c r="E38" s="11">
        <v>4</v>
      </c>
      <c r="F38" s="11" t="s">
        <v>133</v>
      </c>
      <c r="G38" s="11">
        <v>29</v>
      </c>
      <c r="H38" s="13">
        <v>1553.13</v>
      </c>
      <c r="I38" s="11" t="s">
        <v>124</v>
      </c>
      <c r="J38" s="11" t="s">
        <v>124</v>
      </c>
      <c r="K38" s="11">
        <v>0</v>
      </c>
    </row>
    <row r="39" spans="1:11" ht="15" customHeight="1" x14ac:dyDescent="0.25">
      <c r="A39" s="8">
        <v>37</v>
      </c>
      <c r="B39" s="9" t="s">
        <v>203</v>
      </c>
      <c r="C39" s="8" t="s">
        <v>204</v>
      </c>
      <c r="D39" s="8" t="s">
        <v>205</v>
      </c>
      <c r="E39" s="8">
        <v>1</v>
      </c>
      <c r="F39" s="8" t="s">
        <v>145</v>
      </c>
      <c r="G39" s="8">
        <v>2</v>
      </c>
      <c r="H39" s="10">
        <v>1873.32</v>
      </c>
      <c r="I39" s="8" t="s">
        <v>124</v>
      </c>
      <c r="J39" s="8" t="s">
        <v>124</v>
      </c>
      <c r="K39" s="8">
        <v>3</v>
      </c>
    </row>
    <row r="40" spans="1:11" ht="15" customHeight="1" x14ac:dyDescent="0.25">
      <c r="A40" s="11">
        <v>38</v>
      </c>
      <c r="B40" s="12" t="s">
        <v>45</v>
      </c>
      <c r="C40" s="11" t="s">
        <v>206</v>
      </c>
      <c r="D40" s="11" t="s">
        <v>205</v>
      </c>
      <c r="E40" s="11">
        <v>2</v>
      </c>
      <c r="F40" s="11" t="s">
        <v>127</v>
      </c>
      <c r="G40" s="11">
        <v>35</v>
      </c>
      <c r="H40" s="13">
        <v>1516.37</v>
      </c>
      <c r="I40" s="11" t="s">
        <v>124</v>
      </c>
      <c r="J40" s="11" t="s">
        <v>124</v>
      </c>
      <c r="K40" s="11">
        <v>0</v>
      </c>
    </row>
    <row r="41" spans="1:11" ht="15" customHeight="1" x14ac:dyDescent="0.25">
      <c r="A41" s="8">
        <v>39</v>
      </c>
      <c r="B41" s="9" t="s">
        <v>207</v>
      </c>
      <c r="C41" s="8" t="s">
        <v>208</v>
      </c>
      <c r="D41" s="8" t="s">
        <v>205</v>
      </c>
      <c r="E41" s="8">
        <v>3</v>
      </c>
      <c r="F41" s="8" t="s">
        <v>133</v>
      </c>
      <c r="G41" s="8">
        <v>24</v>
      </c>
      <c r="H41" s="10">
        <v>1585.5</v>
      </c>
      <c r="I41" s="8" t="s">
        <v>124</v>
      </c>
      <c r="J41" s="8" t="s">
        <v>124</v>
      </c>
      <c r="K41" s="8">
        <v>0</v>
      </c>
    </row>
    <row r="42" spans="1:11" ht="15" customHeight="1" x14ac:dyDescent="0.25">
      <c r="A42" s="11">
        <v>40</v>
      </c>
      <c r="B42" s="12" t="s">
        <v>209</v>
      </c>
      <c r="C42" s="11" t="s">
        <v>210</v>
      </c>
      <c r="D42" s="11" t="s">
        <v>205</v>
      </c>
      <c r="E42" s="11">
        <v>4</v>
      </c>
      <c r="F42" s="11" t="s">
        <v>130</v>
      </c>
      <c r="G42" s="11">
        <v>66</v>
      </c>
      <c r="H42" s="13">
        <v>1410.6</v>
      </c>
      <c r="I42" s="11" t="s">
        <v>124</v>
      </c>
      <c r="J42" s="11" t="s">
        <v>123</v>
      </c>
      <c r="K42" s="11">
        <v>0</v>
      </c>
    </row>
    <row r="43" spans="1:11" ht="15" customHeight="1" x14ac:dyDescent="0.25">
      <c r="A43" s="8">
        <v>41</v>
      </c>
      <c r="B43" s="9" t="s">
        <v>211</v>
      </c>
      <c r="C43" s="8" t="s">
        <v>212</v>
      </c>
      <c r="D43" s="8" t="s">
        <v>213</v>
      </c>
      <c r="E43" s="8">
        <v>1</v>
      </c>
      <c r="F43" s="8" t="s">
        <v>133</v>
      </c>
      <c r="G43" s="8">
        <v>6</v>
      </c>
      <c r="H43" s="10">
        <v>1760.39</v>
      </c>
      <c r="I43" s="8" t="s">
        <v>124</v>
      </c>
      <c r="J43" s="8" t="s">
        <v>124</v>
      </c>
      <c r="K43" s="8">
        <v>0</v>
      </c>
    </row>
    <row r="44" spans="1:11" ht="15" customHeight="1" x14ac:dyDescent="0.25">
      <c r="A44" s="11">
        <v>42</v>
      </c>
      <c r="B44" s="12" t="s">
        <v>32</v>
      </c>
      <c r="C44" s="11" t="s">
        <v>214</v>
      </c>
      <c r="D44" s="11" t="s">
        <v>213</v>
      </c>
      <c r="E44" s="11">
        <v>2</v>
      </c>
      <c r="F44" s="11" t="s">
        <v>127</v>
      </c>
      <c r="G44" s="11">
        <v>56</v>
      </c>
      <c r="H44" s="13">
        <v>1442.51</v>
      </c>
      <c r="I44" s="11" t="s">
        <v>124</v>
      </c>
      <c r="J44" s="11" t="s">
        <v>124</v>
      </c>
      <c r="K44" s="11">
        <v>0</v>
      </c>
    </row>
    <row r="45" spans="1:11" ht="15" customHeight="1" x14ac:dyDescent="0.25">
      <c r="A45" s="8">
        <v>43</v>
      </c>
      <c r="B45" s="9" t="s">
        <v>215</v>
      </c>
      <c r="C45" s="8" t="s">
        <v>216</v>
      </c>
      <c r="D45" s="8" t="s">
        <v>213</v>
      </c>
      <c r="E45" s="8">
        <v>3</v>
      </c>
      <c r="F45" s="8" t="s">
        <v>130</v>
      </c>
      <c r="G45" s="15">
        <v>50</v>
      </c>
      <c r="H45" s="14">
        <v>1464</v>
      </c>
      <c r="I45" s="8" t="s">
        <v>124</v>
      </c>
      <c r="J45" s="8" t="s">
        <v>123</v>
      </c>
      <c r="K45" s="8">
        <v>0</v>
      </c>
    </row>
    <row r="46" spans="1:11" ht="15" customHeight="1" x14ac:dyDescent="0.25">
      <c r="A46" s="11">
        <v>44</v>
      </c>
      <c r="B46" s="12" t="s">
        <v>217</v>
      </c>
      <c r="C46" s="11" t="s">
        <v>218</v>
      </c>
      <c r="D46" s="11" t="s">
        <v>213</v>
      </c>
      <c r="E46" s="11">
        <v>4</v>
      </c>
      <c r="F46" s="11" t="s">
        <v>145</v>
      </c>
      <c r="G46" s="11">
        <v>13</v>
      </c>
      <c r="H46" s="13">
        <v>1701.29</v>
      </c>
      <c r="I46" s="11" t="s">
        <v>124</v>
      </c>
      <c r="J46" s="11" t="s">
        <v>124</v>
      </c>
      <c r="K46" s="11">
        <v>0</v>
      </c>
    </row>
    <row r="47" spans="1:11" ht="15" customHeight="1" x14ac:dyDescent="0.25">
      <c r="A47" s="8">
        <v>45</v>
      </c>
      <c r="B47" s="9" t="s">
        <v>219</v>
      </c>
      <c r="C47" s="8" t="s">
        <v>220</v>
      </c>
      <c r="D47" s="8" t="s">
        <v>221</v>
      </c>
      <c r="E47" s="8">
        <v>1</v>
      </c>
      <c r="F47" s="8" t="s">
        <v>133</v>
      </c>
      <c r="G47" s="8">
        <v>4</v>
      </c>
      <c r="H47" s="10">
        <v>1834.11</v>
      </c>
      <c r="I47" s="8" t="s">
        <v>124</v>
      </c>
      <c r="J47" s="8" t="s">
        <v>124</v>
      </c>
      <c r="K47" s="8">
        <v>1</v>
      </c>
    </row>
    <row r="48" spans="1:11" ht="15" customHeight="1" x14ac:dyDescent="0.25">
      <c r="A48" s="11">
        <v>46</v>
      </c>
      <c r="B48" s="12" t="s">
        <v>222</v>
      </c>
      <c r="C48" s="11" t="s">
        <v>223</v>
      </c>
      <c r="D48" s="11" t="s">
        <v>221</v>
      </c>
      <c r="E48" s="11">
        <v>2</v>
      </c>
      <c r="F48" s="11" t="s">
        <v>133</v>
      </c>
      <c r="G48" s="11">
        <v>10</v>
      </c>
      <c r="H48" s="13">
        <v>1716.89</v>
      </c>
      <c r="I48" s="11" t="s">
        <v>124</v>
      </c>
      <c r="J48" s="11" t="s">
        <v>124</v>
      </c>
      <c r="K48" s="11">
        <v>0</v>
      </c>
    </row>
    <row r="49" spans="1:11" ht="15" customHeight="1" x14ac:dyDescent="0.25">
      <c r="A49" s="8">
        <v>47</v>
      </c>
      <c r="B49" s="9" t="s">
        <v>52</v>
      </c>
      <c r="C49" s="8" t="s">
        <v>224</v>
      </c>
      <c r="D49" s="8" t="s">
        <v>221</v>
      </c>
      <c r="E49" s="8">
        <v>3</v>
      </c>
      <c r="F49" s="8" t="s">
        <v>127</v>
      </c>
      <c r="G49" s="8">
        <v>72</v>
      </c>
      <c r="H49" s="14">
        <v>1390.5</v>
      </c>
      <c r="I49" s="8" t="s">
        <v>124</v>
      </c>
      <c r="J49" s="8" t="s">
        <v>124</v>
      </c>
      <c r="K49" s="8">
        <v>0</v>
      </c>
    </row>
    <row r="50" spans="1:11" ht="15" customHeight="1" x14ac:dyDescent="0.25">
      <c r="A50" s="11">
        <v>48</v>
      </c>
      <c r="B50" s="12" t="s">
        <v>225</v>
      </c>
      <c r="C50" s="11" t="s">
        <v>226</v>
      </c>
      <c r="D50" s="11" t="s">
        <v>221</v>
      </c>
      <c r="E50" s="11">
        <v>4</v>
      </c>
      <c r="F50" s="11" t="s">
        <v>122</v>
      </c>
      <c r="G50" s="11">
        <v>30</v>
      </c>
      <c r="H50" s="13">
        <v>1540.42</v>
      </c>
      <c r="I50" s="11" t="s">
        <v>124</v>
      </c>
      <c r="J50" s="11" t="s">
        <v>124</v>
      </c>
      <c r="K50" s="11">
        <v>0</v>
      </c>
    </row>
    <row r="51" spans="1:11" ht="15.75" customHeight="1" x14ac:dyDescent="0.25"/>
    <row r="52" spans="1:11" ht="15" customHeight="1" x14ac:dyDescent="0.25">
      <c r="B52" s="32" t="s">
        <v>227</v>
      </c>
      <c r="C52" s="33"/>
      <c r="D52" s="33"/>
      <c r="E52" s="33"/>
      <c r="F52" s="33"/>
      <c r="G52" s="33"/>
      <c r="H52" s="33"/>
      <c r="I52" s="33"/>
      <c r="J52" s="33"/>
      <c r="K52" s="33"/>
    </row>
    <row r="53" spans="1:11" ht="15.75" customHeight="1" x14ac:dyDescent="0.25"/>
    <row r="54" spans="1:11" ht="15.75" customHeight="1" x14ac:dyDescent="0.25"/>
    <row r="55" spans="1:11" ht="15.75" customHeight="1" x14ac:dyDescent="0.25"/>
    <row r="56" spans="1:11" ht="15.75" customHeight="1" x14ac:dyDescent="0.25"/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K1"/>
    <mergeCell ref="B52:K52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 x14ac:dyDescent="0.25"/>
  <cols>
    <col min="1" max="1" width="5" customWidth="1"/>
    <col min="2" max="2" width="22" customWidth="1"/>
    <col min="3" max="3" width="8" customWidth="1"/>
    <col min="4" max="4" width="9" customWidth="1"/>
    <col min="5" max="5" width="7" customWidth="1"/>
    <col min="6" max="6" width="30" customWidth="1"/>
    <col min="7" max="7" width="8" customWidth="1"/>
    <col min="8" max="9" width="9" customWidth="1"/>
    <col min="10" max="13" width="6" customWidth="1"/>
    <col min="14" max="16" width="7" customWidth="1"/>
    <col min="17" max="17" width="10" customWidth="1"/>
    <col min="18" max="18" width="8" customWidth="1"/>
    <col min="19" max="26" width="8.7109375" customWidth="1"/>
  </cols>
  <sheetData>
    <row r="1" spans="1:18" ht="24" customHeight="1" x14ac:dyDescent="0.25">
      <c r="A1" s="35" t="s">
        <v>228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32.25" customHeight="1" x14ac:dyDescent="0.25">
      <c r="A2" s="16" t="s">
        <v>109</v>
      </c>
      <c r="B2" s="16" t="s">
        <v>110</v>
      </c>
      <c r="C2" s="16" t="s">
        <v>229</v>
      </c>
      <c r="D2" s="16" t="s">
        <v>230</v>
      </c>
      <c r="E2" s="16" t="s">
        <v>231</v>
      </c>
      <c r="F2" s="16" t="s">
        <v>232</v>
      </c>
      <c r="G2" s="16" t="s">
        <v>233</v>
      </c>
      <c r="H2" s="16" t="s">
        <v>234</v>
      </c>
      <c r="I2" s="16" t="s">
        <v>235</v>
      </c>
      <c r="J2" s="16" t="s">
        <v>236</v>
      </c>
      <c r="K2" s="16" t="s">
        <v>237</v>
      </c>
      <c r="L2" s="16" t="s">
        <v>238</v>
      </c>
      <c r="M2" s="16" t="s">
        <v>239</v>
      </c>
      <c r="N2" s="16" t="s">
        <v>240</v>
      </c>
      <c r="O2" s="16" t="s">
        <v>241</v>
      </c>
      <c r="P2" s="16" t="s">
        <v>242</v>
      </c>
      <c r="Q2" s="16" t="s">
        <v>243</v>
      </c>
      <c r="R2" s="16" t="s">
        <v>244</v>
      </c>
    </row>
    <row r="3" spans="1:18" ht="15" customHeight="1" x14ac:dyDescent="0.25">
      <c r="A3" s="8">
        <v>1</v>
      </c>
      <c r="B3" s="17" t="s">
        <v>119</v>
      </c>
      <c r="C3" s="8" t="s">
        <v>122</v>
      </c>
      <c r="D3" s="8">
        <v>18</v>
      </c>
      <c r="E3" s="18">
        <v>1930</v>
      </c>
      <c r="F3" s="17" t="s">
        <v>245</v>
      </c>
      <c r="G3" s="8">
        <v>0</v>
      </c>
      <c r="H3" s="8">
        <v>0</v>
      </c>
      <c r="I3" s="8">
        <v>0</v>
      </c>
      <c r="J3" s="8">
        <v>60</v>
      </c>
      <c r="K3" s="8">
        <v>17</v>
      </c>
      <c r="L3" s="8">
        <v>15</v>
      </c>
      <c r="M3" s="8">
        <v>28</v>
      </c>
      <c r="N3" s="8">
        <v>62</v>
      </c>
      <c r="O3" s="8">
        <v>101</v>
      </c>
      <c r="P3" s="8">
        <f t="shared" ref="P3:P50" si="0">N3-O3</f>
        <v>-39</v>
      </c>
      <c r="Q3" s="8">
        <f t="shared" ref="Q3:Q50" si="1">3*K3+L3</f>
        <v>66</v>
      </c>
      <c r="R3" s="19">
        <f t="shared" ref="R3:R50" si="2">IF(J3=0,"",K3/J3)</f>
        <v>0.28333333333333333</v>
      </c>
    </row>
    <row r="4" spans="1:18" ht="15" customHeight="1" x14ac:dyDescent="0.25">
      <c r="A4" s="8">
        <v>2</v>
      </c>
      <c r="B4" s="17" t="s">
        <v>125</v>
      </c>
      <c r="C4" s="8" t="s">
        <v>127</v>
      </c>
      <c r="D4" s="8">
        <v>4</v>
      </c>
      <c r="E4" s="18">
        <v>1998</v>
      </c>
      <c r="F4" s="17" t="s">
        <v>246</v>
      </c>
      <c r="G4" s="8">
        <v>0</v>
      </c>
      <c r="H4" s="8">
        <v>0</v>
      </c>
      <c r="I4" s="8">
        <v>0</v>
      </c>
      <c r="J4" s="8">
        <v>9</v>
      </c>
      <c r="K4" s="8">
        <v>2</v>
      </c>
      <c r="L4" s="8">
        <v>4</v>
      </c>
      <c r="M4" s="8">
        <v>3</v>
      </c>
      <c r="N4" s="8">
        <v>11</v>
      </c>
      <c r="O4" s="8">
        <v>16</v>
      </c>
      <c r="P4" s="8">
        <f t="shared" si="0"/>
        <v>-5</v>
      </c>
      <c r="Q4" s="8">
        <f t="shared" si="1"/>
        <v>10</v>
      </c>
      <c r="R4" s="19">
        <f t="shared" si="2"/>
        <v>0.22222222222222221</v>
      </c>
    </row>
    <row r="5" spans="1:18" ht="15" customHeight="1" x14ac:dyDescent="0.25">
      <c r="A5" s="8">
        <v>3</v>
      </c>
      <c r="B5" s="17" t="s">
        <v>128</v>
      </c>
      <c r="C5" s="8" t="s">
        <v>130</v>
      </c>
      <c r="D5" s="8">
        <v>12</v>
      </c>
      <c r="E5" s="18">
        <v>1954</v>
      </c>
      <c r="F5" s="17" t="s">
        <v>247</v>
      </c>
      <c r="G5" s="8">
        <v>0</v>
      </c>
      <c r="H5" s="8">
        <v>0</v>
      </c>
      <c r="I5" s="8">
        <v>0</v>
      </c>
      <c r="J5" s="8">
        <v>38</v>
      </c>
      <c r="K5" s="8">
        <v>7</v>
      </c>
      <c r="L5" s="8">
        <v>10</v>
      </c>
      <c r="M5" s="8">
        <v>21</v>
      </c>
      <c r="N5" s="8">
        <v>39</v>
      </c>
      <c r="O5" s="8">
        <v>78</v>
      </c>
      <c r="P5" s="8">
        <f t="shared" si="0"/>
        <v>-39</v>
      </c>
      <c r="Q5" s="8">
        <f t="shared" si="1"/>
        <v>31</v>
      </c>
      <c r="R5" s="19">
        <f t="shared" si="2"/>
        <v>0.18421052631578946</v>
      </c>
    </row>
    <row r="6" spans="1:18" ht="15" customHeight="1" x14ac:dyDescent="0.25">
      <c r="A6" s="8">
        <v>4</v>
      </c>
      <c r="B6" s="17" t="s">
        <v>131</v>
      </c>
      <c r="C6" s="8" t="s">
        <v>133</v>
      </c>
      <c r="D6" s="8">
        <v>10</v>
      </c>
      <c r="E6" s="18">
        <v>1934</v>
      </c>
      <c r="F6" s="17" t="s">
        <v>248</v>
      </c>
      <c r="G6" s="8">
        <v>0</v>
      </c>
      <c r="H6" s="8">
        <v>2</v>
      </c>
      <c r="I6" s="8">
        <v>0</v>
      </c>
      <c r="J6" s="8">
        <v>33</v>
      </c>
      <c r="K6" s="8">
        <v>12</v>
      </c>
      <c r="L6" s="8">
        <v>5</v>
      </c>
      <c r="M6" s="8">
        <v>16</v>
      </c>
      <c r="N6" s="8">
        <v>47</v>
      </c>
      <c r="O6" s="8">
        <v>49</v>
      </c>
      <c r="P6" s="8">
        <f t="shared" si="0"/>
        <v>-2</v>
      </c>
      <c r="Q6" s="8">
        <f t="shared" si="1"/>
        <v>41</v>
      </c>
      <c r="R6" s="19">
        <f t="shared" si="2"/>
        <v>0.36363636363636365</v>
      </c>
    </row>
    <row r="7" spans="1:18" ht="15" customHeight="1" x14ac:dyDescent="0.25">
      <c r="A7" s="11">
        <v>5</v>
      </c>
      <c r="B7" s="20" t="s">
        <v>134</v>
      </c>
      <c r="C7" s="11" t="s">
        <v>122</v>
      </c>
      <c r="D7" s="11">
        <v>3</v>
      </c>
      <c r="E7" s="21">
        <v>1986</v>
      </c>
      <c r="F7" s="20" t="s">
        <v>246</v>
      </c>
      <c r="G7" s="11">
        <v>0</v>
      </c>
      <c r="H7" s="11">
        <v>0</v>
      </c>
      <c r="I7" s="11">
        <v>0</v>
      </c>
      <c r="J7" s="11">
        <v>6</v>
      </c>
      <c r="K7" s="11">
        <v>0</v>
      </c>
      <c r="L7" s="11">
        <v>0</v>
      </c>
      <c r="M7" s="11">
        <v>6</v>
      </c>
      <c r="N7" s="11">
        <v>2</v>
      </c>
      <c r="O7" s="11">
        <v>12</v>
      </c>
      <c r="P7" s="11">
        <f t="shared" si="0"/>
        <v>-10</v>
      </c>
      <c r="Q7" s="11">
        <f t="shared" si="1"/>
        <v>0</v>
      </c>
      <c r="R7" s="22">
        <f t="shared" si="2"/>
        <v>0</v>
      </c>
    </row>
    <row r="8" spans="1:18" ht="15" customHeight="1" x14ac:dyDescent="0.25">
      <c r="A8" s="11">
        <v>6</v>
      </c>
      <c r="B8" s="20" t="s">
        <v>38</v>
      </c>
      <c r="C8" s="11" t="s">
        <v>133</v>
      </c>
      <c r="D8" s="11">
        <v>2</v>
      </c>
      <c r="E8" s="21">
        <v>2014</v>
      </c>
      <c r="F8" s="20" t="s">
        <v>246</v>
      </c>
      <c r="G8" s="11">
        <v>0</v>
      </c>
      <c r="H8" s="11">
        <v>0</v>
      </c>
      <c r="I8" s="11">
        <v>0</v>
      </c>
      <c r="J8" s="11">
        <v>3</v>
      </c>
      <c r="K8" s="11">
        <v>1</v>
      </c>
      <c r="L8" s="11">
        <v>0</v>
      </c>
      <c r="M8" s="11">
        <v>2</v>
      </c>
      <c r="N8" s="11">
        <v>4</v>
      </c>
      <c r="O8" s="11">
        <v>4</v>
      </c>
      <c r="P8" s="11">
        <f t="shared" si="0"/>
        <v>0</v>
      </c>
      <c r="Q8" s="11">
        <f t="shared" si="1"/>
        <v>3</v>
      </c>
      <c r="R8" s="22">
        <f t="shared" si="2"/>
        <v>0.33333333333333331</v>
      </c>
    </row>
    <row r="9" spans="1:18" ht="15" customHeight="1" x14ac:dyDescent="0.25">
      <c r="A9" s="11">
        <v>7</v>
      </c>
      <c r="B9" s="20" t="s">
        <v>138</v>
      </c>
      <c r="C9" s="11" t="s">
        <v>130</v>
      </c>
      <c r="D9" s="11">
        <v>2</v>
      </c>
      <c r="E9" s="21">
        <v>2022</v>
      </c>
      <c r="F9" s="20" t="s">
        <v>246</v>
      </c>
      <c r="G9" s="11">
        <v>0</v>
      </c>
      <c r="H9" s="11">
        <v>0</v>
      </c>
      <c r="I9" s="11">
        <v>0</v>
      </c>
      <c r="J9" s="11">
        <v>3</v>
      </c>
      <c r="K9" s="11">
        <v>0</v>
      </c>
      <c r="L9" s="11">
        <v>0</v>
      </c>
      <c r="M9" s="11">
        <v>3</v>
      </c>
      <c r="N9" s="11">
        <v>1</v>
      </c>
      <c r="O9" s="11">
        <v>7</v>
      </c>
      <c r="P9" s="11">
        <f t="shared" si="0"/>
        <v>-6</v>
      </c>
      <c r="Q9" s="11">
        <f t="shared" si="1"/>
        <v>0</v>
      </c>
      <c r="R9" s="22">
        <f t="shared" si="2"/>
        <v>0</v>
      </c>
    </row>
    <row r="10" spans="1:18" ht="15" customHeight="1" x14ac:dyDescent="0.25">
      <c r="A10" s="11">
        <v>8</v>
      </c>
      <c r="B10" s="20" t="s">
        <v>140</v>
      </c>
      <c r="C10" s="11" t="s">
        <v>133</v>
      </c>
      <c r="D10" s="11">
        <v>13</v>
      </c>
      <c r="E10" s="21">
        <v>1934</v>
      </c>
      <c r="F10" s="20" t="s">
        <v>249</v>
      </c>
      <c r="G10" s="11">
        <v>0</v>
      </c>
      <c r="H10" s="11">
        <v>0</v>
      </c>
      <c r="I10" s="11">
        <v>0</v>
      </c>
      <c r="J10" s="11">
        <v>41</v>
      </c>
      <c r="K10" s="11">
        <v>14</v>
      </c>
      <c r="L10" s="11">
        <v>8</v>
      </c>
      <c r="M10" s="11">
        <v>19</v>
      </c>
      <c r="N10" s="11">
        <v>55</v>
      </c>
      <c r="O10" s="11">
        <v>73</v>
      </c>
      <c r="P10" s="11">
        <f t="shared" si="0"/>
        <v>-18</v>
      </c>
      <c r="Q10" s="11">
        <f t="shared" si="1"/>
        <v>50</v>
      </c>
      <c r="R10" s="22">
        <f t="shared" si="2"/>
        <v>0.34146341463414637</v>
      </c>
    </row>
    <row r="11" spans="1:18" ht="15" customHeight="1" x14ac:dyDescent="0.25">
      <c r="A11" s="8">
        <v>9</v>
      </c>
      <c r="B11" s="17" t="s">
        <v>142</v>
      </c>
      <c r="C11" s="8" t="s">
        <v>145</v>
      </c>
      <c r="D11" s="8">
        <v>23</v>
      </c>
      <c r="E11" s="18">
        <v>1930</v>
      </c>
      <c r="F11" s="17" t="s">
        <v>250</v>
      </c>
      <c r="G11" s="8">
        <v>5</v>
      </c>
      <c r="H11" s="8">
        <v>2</v>
      </c>
      <c r="I11" s="8">
        <v>2</v>
      </c>
      <c r="J11" s="8">
        <v>114</v>
      </c>
      <c r="K11" s="8">
        <v>76</v>
      </c>
      <c r="L11" s="8">
        <v>19</v>
      </c>
      <c r="M11" s="8">
        <v>19</v>
      </c>
      <c r="N11" s="8">
        <v>237</v>
      </c>
      <c r="O11" s="8">
        <v>108</v>
      </c>
      <c r="P11" s="8">
        <f t="shared" si="0"/>
        <v>129</v>
      </c>
      <c r="Q11" s="8">
        <f t="shared" si="1"/>
        <v>247</v>
      </c>
      <c r="R11" s="19">
        <f t="shared" si="2"/>
        <v>0.66666666666666663</v>
      </c>
    </row>
    <row r="12" spans="1:18" ht="15" customHeight="1" x14ac:dyDescent="0.25">
      <c r="A12" s="8">
        <v>10</v>
      </c>
      <c r="B12" s="17" t="s">
        <v>146</v>
      </c>
      <c r="C12" s="8" t="s">
        <v>127</v>
      </c>
      <c r="D12" s="8">
        <v>7</v>
      </c>
      <c r="E12" s="18">
        <v>1970</v>
      </c>
      <c r="F12" s="17" t="s">
        <v>251</v>
      </c>
      <c r="G12" s="8">
        <v>0</v>
      </c>
      <c r="H12" s="8">
        <v>0</v>
      </c>
      <c r="I12" s="8">
        <v>0</v>
      </c>
      <c r="J12" s="8">
        <v>23</v>
      </c>
      <c r="K12" s="8">
        <v>5</v>
      </c>
      <c r="L12" s="8">
        <v>7</v>
      </c>
      <c r="M12" s="8">
        <v>11</v>
      </c>
      <c r="N12" s="8">
        <v>20</v>
      </c>
      <c r="O12" s="8">
        <v>27</v>
      </c>
      <c r="P12" s="8">
        <f t="shared" si="0"/>
        <v>-7</v>
      </c>
      <c r="Q12" s="8">
        <f t="shared" si="1"/>
        <v>22</v>
      </c>
      <c r="R12" s="19">
        <f t="shared" si="2"/>
        <v>0.21739130434782608</v>
      </c>
    </row>
    <row r="13" spans="1:18" ht="15" customHeight="1" x14ac:dyDescent="0.25">
      <c r="A13" s="8">
        <v>11</v>
      </c>
      <c r="B13" s="17" t="s">
        <v>148</v>
      </c>
      <c r="C13" s="8" t="s">
        <v>122</v>
      </c>
      <c r="D13" s="8">
        <v>2</v>
      </c>
      <c r="E13" s="18">
        <v>1974</v>
      </c>
      <c r="F13" s="17" t="s">
        <v>246</v>
      </c>
      <c r="G13" s="8">
        <v>0</v>
      </c>
      <c r="H13" s="8">
        <v>0</v>
      </c>
      <c r="I13" s="8">
        <v>0</v>
      </c>
      <c r="J13" s="8">
        <v>3</v>
      </c>
      <c r="K13" s="8">
        <v>0</v>
      </c>
      <c r="L13" s="8">
        <v>0</v>
      </c>
      <c r="M13" s="8">
        <v>3</v>
      </c>
      <c r="N13" s="8">
        <v>2</v>
      </c>
      <c r="O13" s="8">
        <v>14</v>
      </c>
      <c r="P13" s="8">
        <f t="shared" si="0"/>
        <v>-12</v>
      </c>
      <c r="Q13" s="8">
        <f t="shared" si="1"/>
        <v>0</v>
      </c>
      <c r="R13" s="19">
        <f t="shared" si="2"/>
        <v>0</v>
      </c>
    </row>
    <row r="14" spans="1:18" ht="15" customHeight="1" x14ac:dyDescent="0.25">
      <c r="A14" s="8">
        <v>12</v>
      </c>
      <c r="B14" s="17" t="s">
        <v>150</v>
      </c>
      <c r="C14" s="8" t="s">
        <v>133</v>
      </c>
      <c r="D14" s="8">
        <v>9</v>
      </c>
      <c r="E14" s="18">
        <v>1954</v>
      </c>
      <c r="F14" s="17" t="s">
        <v>246</v>
      </c>
      <c r="G14" s="8">
        <v>0</v>
      </c>
      <c r="H14" s="8">
        <v>0</v>
      </c>
      <c r="I14" s="8">
        <v>0</v>
      </c>
      <c r="J14" s="8">
        <v>23</v>
      </c>
      <c r="K14" s="8">
        <v>4</v>
      </c>
      <c r="L14" s="8">
        <v>7</v>
      </c>
      <c r="M14" s="8">
        <v>12</v>
      </c>
      <c r="N14" s="8">
        <v>25</v>
      </c>
      <c r="O14" s="8">
        <v>41</v>
      </c>
      <c r="P14" s="8">
        <f t="shared" si="0"/>
        <v>-16</v>
      </c>
      <c r="Q14" s="8">
        <f t="shared" si="1"/>
        <v>19</v>
      </c>
      <c r="R14" s="19">
        <f t="shared" si="2"/>
        <v>0.17391304347826086</v>
      </c>
    </row>
    <row r="15" spans="1:18" ht="15" customHeight="1" x14ac:dyDescent="0.25">
      <c r="A15" s="11">
        <v>13</v>
      </c>
      <c r="B15" s="20" t="s">
        <v>152</v>
      </c>
      <c r="C15" s="11" t="s">
        <v>122</v>
      </c>
      <c r="D15" s="11">
        <v>12</v>
      </c>
      <c r="E15" s="21">
        <v>1930</v>
      </c>
      <c r="F15" s="20" t="s">
        <v>252</v>
      </c>
      <c r="G15" s="11">
        <v>0</v>
      </c>
      <c r="H15" s="11">
        <v>0</v>
      </c>
      <c r="I15" s="11">
        <v>1</v>
      </c>
      <c r="J15" s="11">
        <v>37</v>
      </c>
      <c r="K15" s="11">
        <v>9</v>
      </c>
      <c r="L15" s="11">
        <v>8</v>
      </c>
      <c r="M15" s="11">
        <v>20</v>
      </c>
      <c r="N15" s="11">
        <v>40</v>
      </c>
      <c r="O15" s="11">
        <v>66</v>
      </c>
      <c r="P15" s="11">
        <f t="shared" si="0"/>
        <v>-26</v>
      </c>
      <c r="Q15" s="11">
        <f t="shared" si="1"/>
        <v>35</v>
      </c>
      <c r="R15" s="22">
        <f t="shared" si="2"/>
        <v>0.24324324324324326</v>
      </c>
    </row>
    <row r="16" spans="1:18" ht="15" customHeight="1" x14ac:dyDescent="0.25">
      <c r="A16" s="11">
        <v>14</v>
      </c>
      <c r="B16" s="20" t="s">
        <v>19</v>
      </c>
      <c r="C16" s="11" t="s">
        <v>145</v>
      </c>
      <c r="D16" s="11">
        <v>9</v>
      </c>
      <c r="E16" s="21">
        <v>1930</v>
      </c>
      <c r="F16" s="20" t="s">
        <v>253</v>
      </c>
      <c r="G16" s="11">
        <v>0</v>
      </c>
      <c r="H16" s="11">
        <v>0</v>
      </c>
      <c r="I16" s="11">
        <v>0</v>
      </c>
      <c r="J16" s="11">
        <v>27</v>
      </c>
      <c r="K16" s="11">
        <v>7</v>
      </c>
      <c r="L16" s="11">
        <v>10</v>
      </c>
      <c r="M16" s="11">
        <v>10</v>
      </c>
      <c r="N16" s="11">
        <v>30</v>
      </c>
      <c r="O16" s="11">
        <v>38</v>
      </c>
      <c r="P16" s="11">
        <f t="shared" si="0"/>
        <v>-8</v>
      </c>
      <c r="Q16" s="11">
        <f t="shared" si="1"/>
        <v>31</v>
      </c>
      <c r="R16" s="22">
        <f t="shared" si="2"/>
        <v>0.25925925925925924</v>
      </c>
    </row>
    <row r="17" spans="1:18" ht="15" customHeight="1" x14ac:dyDescent="0.25">
      <c r="A17" s="11">
        <v>15</v>
      </c>
      <c r="B17" s="20" t="s">
        <v>156</v>
      </c>
      <c r="C17" s="11" t="s">
        <v>130</v>
      </c>
      <c r="D17" s="11">
        <v>7</v>
      </c>
      <c r="E17" s="21">
        <v>1974</v>
      </c>
      <c r="F17" s="20" t="s">
        <v>254</v>
      </c>
      <c r="G17" s="11">
        <v>0</v>
      </c>
      <c r="H17" s="11">
        <v>0</v>
      </c>
      <c r="I17" s="11">
        <v>0</v>
      </c>
      <c r="J17" s="11">
        <v>20</v>
      </c>
      <c r="K17" s="11">
        <v>4</v>
      </c>
      <c r="L17" s="11">
        <v>4</v>
      </c>
      <c r="M17" s="11">
        <v>12</v>
      </c>
      <c r="N17" s="11">
        <v>17</v>
      </c>
      <c r="O17" s="11">
        <v>37</v>
      </c>
      <c r="P17" s="11">
        <f t="shared" si="0"/>
        <v>-20</v>
      </c>
      <c r="Q17" s="11">
        <f t="shared" si="1"/>
        <v>16</v>
      </c>
      <c r="R17" s="22">
        <f t="shared" si="2"/>
        <v>0.2</v>
      </c>
    </row>
    <row r="18" spans="1:18" ht="15" customHeight="1" x14ac:dyDescent="0.25">
      <c r="A18" s="11">
        <v>16</v>
      </c>
      <c r="B18" s="20" t="s">
        <v>158</v>
      </c>
      <c r="C18" s="11" t="s">
        <v>133</v>
      </c>
      <c r="D18" s="11">
        <v>3</v>
      </c>
      <c r="E18" s="21">
        <v>1954</v>
      </c>
      <c r="F18" s="20" t="s">
        <v>255</v>
      </c>
      <c r="G18" s="11">
        <v>0</v>
      </c>
      <c r="H18" s="11">
        <v>0</v>
      </c>
      <c r="I18" s="11">
        <v>1</v>
      </c>
      <c r="J18" s="11">
        <v>10</v>
      </c>
      <c r="K18" s="11">
        <v>5</v>
      </c>
      <c r="L18" s="11">
        <v>1</v>
      </c>
      <c r="M18" s="11">
        <v>4</v>
      </c>
      <c r="N18" s="11">
        <v>20</v>
      </c>
      <c r="O18" s="11">
        <v>17</v>
      </c>
      <c r="P18" s="11">
        <f t="shared" si="0"/>
        <v>3</v>
      </c>
      <c r="Q18" s="11">
        <f t="shared" si="1"/>
        <v>16</v>
      </c>
      <c r="R18" s="22">
        <f t="shared" si="2"/>
        <v>0.5</v>
      </c>
    </row>
    <row r="19" spans="1:18" ht="15" customHeight="1" x14ac:dyDescent="0.25">
      <c r="A19" s="8">
        <v>17</v>
      </c>
      <c r="B19" s="17" t="s">
        <v>160</v>
      </c>
      <c r="C19" s="8" t="s">
        <v>133</v>
      </c>
      <c r="D19" s="8">
        <v>21</v>
      </c>
      <c r="E19" s="18">
        <v>1934</v>
      </c>
      <c r="F19" s="17" t="s">
        <v>256</v>
      </c>
      <c r="G19" s="8">
        <v>4</v>
      </c>
      <c r="H19" s="8">
        <v>4</v>
      </c>
      <c r="I19" s="8">
        <v>4</v>
      </c>
      <c r="J19" s="8">
        <v>112</v>
      </c>
      <c r="K19" s="8">
        <v>68</v>
      </c>
      <c r="L19" s="8">
        <v>21</v>
      </c>
      <c r="M19" s="8">
        <v>23</v>
      </c>
      <c r="N19" s="8">
        <v>232</v>
      </c>
      <c r="O19" s="8">
        <v>130</v>
      </c>
      <c r="P19" s="8">
        <f t="shared" si="0"/>
        <v>102</v>
      </c>
      <c r="Q19" s="8">
        <f t="shared" si="1"/>
        <v>225</v>
      </c>
      <c r="R19" s="19">
        <f t="shared" si="2"/>
        <v>0.6071428571428571</v>
      </c>
    </row>
    <row r="20" spans="1:18" ht="15" customHeight="1" x14ac:dyDescent="0.25">
      <c r="A20" s="8">
        <v>18</v>
      </c>
      <c r="B20" s="17" t="s">
        <v>163</v>
      </c>
      <c r="C20" s="8" t="s">
        <v>122</v>
      </c>
      <c r="D20" s="8">
        <v>1</v>
      </c>
      <c r="E20" s="18">
        <v>2026</v>
      </c>
      <c r="F20" s="17" t="s">
        <v>257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f t="shared" si="0"/>
        <v>0</v>
      </c>
      <c r="Q20" s="8">
        <f t="shared" si="1"/>
        <v>0</v>
      </c>
      <c r="R20" s="19" t="str">
        <f t="shared" si="2"/>
        <v/>
      </c>
    </row>
    <row r="21" spans="1:18" ht="15" customHeight="1" x14ac:dyDescent="0.25">
      <c r="A21" s="8">
        <v>19</v>
      </c>
      <c r="B21" s="17" t="s">
        <v>165</v>
      </c>
      <c r="C21" s="8" t="s">
        <v>127</v>
      </c>
      <c r="D21" s="8">
        <v>4</v>
      </c>
      <c r="E21" s="18">
        <v>2006</v>
      </c>
      <c r="F21" s="17" t="s">
        <v>246</v>
      </c>
      <c r="G21" s="8">
        <v>0</v>
      </c>
      <c r="H21" s="8">
        <v>0</v>
      </c>
      <c r="I21" s="8">
        <v>0</v>
      </c>
      <c r="J21" s="8">
        <v>9</v>
      </c>
      <c r="K21" s="8">
        <v>3</v>
      </c>
      <c r="L21" s="8">
        <v>1</v>
      </c>
      <c r="M21" s="8">
        <v>5</v>
      </c>
      <c r="N21" s="8">
        <v>13</v>
      </c>
      <c r="O21" s="8">
        <v>14</v>
      </c>
      <c r="P21" s="8">
        <f t="shared" si="0"/>
        <v>-1</v>
      </c>
      <c r="Q21" s="8">
        <f t="shared" si="1"/>
        <v>10</v>
      </c>
      <c r="R21" s="19">
        <f t="shared" si="2"/>
        <v>0.33333333333333331</v>
      </c>
    </row>
    <row r="22" spans="1:18" ht="15" customHeight="1" x14ac:dyDescent="0.25">
      <c r="A22" s="8">
        <v>20</v>
      </c>
      <c r="B22" s="17" t="s">
        <v>29</v>
      </c>
      <c r="C22" s="8" t="s">
        <v>145</v>
      </c>
      <c r="D22" s="8">
        <v>5</v>
      </c>
      <c r="E22" s="18">
        <v>2002</v>
      </c>
      <c r="F22" s="17" t="s">
        <v>258</v>
      </c>
      <c r="G22" s="8">
        <v>0</v>
      </c>
      <c r="H22" s="8">
        <v>0</v>
      </c>
      <c r="I22" s="8">
        <v>0</v>
      </c>
      <c r="J22" s="8">
        <v>13</v>
      </c>
      <c r="K22" s="8">
        <v>5</v>
      </c>
      <c r="L22" s="8">
        <v>2</v>
      </c>
      <c r="M22" s="8">
        <v>6</v>
      </c>
      <c r="N22" s="8">
        <v>14</v>
      </c>
      <c r="O22" s="8">
        <v>14</v>
      </c>
      <c r="P22" s="8">
        <f t="shared" si="0"/>
        <v>0</v>
      </c>
      <c r="Q22" s="8">
        <f t="shared" si="1"/>
        <v>17</v>
      </c>
      <c r="R22" s="19">
        <f t="shared" si="2"/>
        <v>0.38461538461538464</v>
      </c>
    </row>
    <row r="23" spans="1:18" ht="15" customHeight="1" x14ac:dyDescent="0.25">
      <c r="A23" s="11">
        <v>21</v>
      </c>
      <c r="B23" s="20" t="s">
        <v>168</v>
      </c>
      <c r="C23" s="11" t="s">
        <v>133</v>
      </c>
      <c r="D23" s="11">
        <v>12</v>
      </c>
      <c r="E23" s="21">
        <v>1934</v>
      </c>
      <c r="F23" s="20" t="s">
        <v>259</v>
      </c>
      <c r="G23" s="11">
        <v>0</v>
      </c>
      <c r="H23" s="11">
        <v>3</v>
      </c>
      <c r="I23" s="11">
        <v>1</v>
      </c>
      <c r="J23" s="11">
        <v>55</v>
      </c>
      <c r="K23" s="11">
        <v>30</v>
      </c>
      <c r="L23" s="11">
        <v>14</v>
      </c>
      <c r="M23" s="11">
        <v>11</v>
      </c>
      <c r="N23" s="11">
        <v>96</v>
      </c>
      <c r="O23" s="11">
        <v>52</v>
      </c>
      <c r="P23" s="11">
        <f t="shared" si="0"/>
        <v>44</v>
      </c>
      <c r="Q23" s="11">
        <f t="shared" si="1"/>
        <v>104</v>
      </c>
      <c r="R23" s="22">
        <f t="shared" si="2"/>
        <v>0.54545454545454541</v>
      </c>
    </row>
    <row r="24" spans="1:18" ht="15" customHeight="1" x14ac:dyDescent="0.25">
      <c r="A24" s="11">
        <v>22</v>
      </c>
      <c r="B24" s="20" t="s">
        <v>171</v>
      </c>
      <c r="C24" s="11" t="s">
        <v>130</v>
      </c>
      <c r="D24" s="11">
        <v>8</v>
      </c>
      <c r="E24" s="21">
        <v>1998</v>
      </c>
      <c r="F24" s="20" t="s">
        <v>260</v>
      </c>
      <c r="G24" s="11">
        <v>0</v>
      </c>
      <c r="H24" s="11">
        <v>0</v>
      </c>
      <c r="I24" s="11">
        <v>0</v>
      </c>
      <c r="J24" s="11">
        <v>25</v>
      </c>
      <c r="K24" s="11">
        <v>7</v>
      </c>
      <c r="L24" s="11">
        <v>6</v>
      </c>
      <c r="M24" s="11">
        <v>12</v>
      </c>
      <c r="N24" s="11">
        <v>25</v>
      </c>
      <c r="O24" s="11">
        <v>33</v>
      </c>
      <c r="P24" s="11">
        <f t="shared" si="0"/>
        <v>-8</v>
      </c>
      <c r="Q24" s="11">
        <f t="shared" si="1"/>
        <v>27</v>
      </c>
      <c r="R24" s="22">
        <f t="shared" si="2"/>
        <v>0.28000000000000003</v>
      </c>
    </row>
    <row r="25" spans="1:18" ht="15" customHeight="1" x14ac:dyDescent="0.25">
      <c r="A25" s="11">
        <v>23</v>
      </c>
      <c r="B25" s="20" t="s">
        <v>26</v>
      </c>
      <c r="C25" s="11" t="s">
        <v>133</v>
      </c>
      <c r="D25" s="11">
        <v>13</v>
      </c>
      <c r="E25" s="21">
        <v>1934</v>
      </c>
      <c r="F25" s="20" t="s">
        <v>261</v>
      </c>
      <c r="G25" s="11">
        <v>0</v>
      </c>
      <c r="H25" s="11">
        <v>1</v>
      </c>
      <c r="I25" s="11">
        <v>2</v>
      </c>
      <c r="J25" s="11">
        <v>51</v>
      </c>
      <c r="K25" s="11">
        <v>19</v>
      </c>
      <c r="L25" s="11">
        <v>13</v>
      </c>
      <c r="M25" s="11">
        <v>19</v>
      </c>
      <c r="N25" s="11">
        <v>80</v>
      </c>
      <c r="O25" s="11">
        <v>73</v>
      </c>
      <c r="P25" s="11">
        <f t="shared" si="0"/>
        <v>7</v>
      </c>
      <c r="Q25" s="11">
        <f t="shared" si="1"/>
        <v>70</v>
      </c>
      <c r="R25" s="22">
        <f t="shared" si="2"/>
        <v>0.37254901960784315</v>
      </c>
    </row>
    <row r="26" spans="1:18" ht="15" customHeight="1" x14ac:dyDescent="0.25">
      <c r="A26" s="11">
        <v>24</v>
      </c>
      <c r="B26" s="20" t="s">
        <v>174</v>
      </c>
      <c r="C26" s="11" t="s">
        <v>127</v>
      </c>
      <c r="D26" s="11">
        <v>7</v>
      </c>
      <c r="E26" s="21">
        <v>1978</v>
      </c>
      <c r="F26" s="20" t="s">
        <v>246</v>
      </c>
      <c r="G26" s="11">
        <v>0</v>
      </c>
      <c r="H26" s="11">
        <v>0</v>
      </c>
      <c r="I26" s="11">
        <v>0</v>
      </c>
      <c r="J26" s="11">
        <v>18</v>
      </c>
      <c r="K26" s="11">
        <v>3</v>
      </c>
      <c r="L26" s="11">
        <v>5</v>
      </c>
      <c r="M26" s="11">
        <v>10</v>
      </c>
      <c r="N26" s="11">
        <v>14</v>
      </c>
      <c r="O26" s="11">
        <v>26</v>
      </c>
      <c r="P26" s="11">
        <f t="shared" si="0"/>
        <v>-12</v>
      </c>
      <c r="Q26" s="11">
        <f t="shared" si="1"/>
        <v>14</v>
      </c>
      <c r="R26" s="22">
        <f t="shared" si="2"/>
        <v>0.16666666666666666</v>
      </c>
    </row>
    <row r="27" spans="1:18" ht="15" customHeight="1" x14ac:dyDescent="0.25">
      <c r="A27" s="8">
        <v>25</v>
      </c>
      <c r="B27" s="17" t="s">
        <v>176</v>
      </c>
      <c r="C27" s="8" t="s">
        <v>133</v>
      </c>
      <c r="D27" s="8">
        <v>15</v>
      </c>
      <c r="E27" s="18">
        <v>1930</v>
      </c>
      <c r="F27" s="17" t="s">
        <v>262</v>
      </c>
      <c r="G27" s="8">
        <v>0</v>
      </c>
      <c r="H27" s="8">
        <v>0</v>
      </c>
      <c r="I27" s="8">
        <v>1</v>
      </c>
      <c r="J27" s="8">
        <v>51</v>
      </c>
      <c r="K27" s="8">
        <v>21</v>
      </c>
      <c r="L27" s="8">
        <v>10</v>
      </c>
      <c r="M27" s="8">
        <v>20</v>
      </c>
      <c r="N27" s="8">
        <v>69</v>
      </c>
      <c r="O27" s="8">
        <v>74</v>
      </c>
      <c r="P27" s="8">
        <f t="shared" si="0"/>
        <v>-5</v>
      </c>
      <c r="Q27" s="8">
        <f t="shared" si="1"/>
        <v>73</v>
      </c>
      <c r="R27" s="19">
        <f t="shared" si="2"/>
        <v>0.41176470588235292</v>
      </c>
    </row>
    <row r="28" spans="1:18" ht="15" customHeight="1" x14ac:dyDescent="0.25">
      <c r="A28" s="8">
        <v>26</v>
      </c>
      <c r="B28" s="17" t="s">
        <v>179</v>
      </c>
      <c r="C28" s="8" t="s">
        <v>127</v>
      </c>
      <c r="D28" s="8">
        <v>4</v>
      </c>
      <c r="E28" s="18">
        <v>1934</v>
      </c>
      <c r="F28" s="17" t="s">
        <v>263</v>
      </c>
      <c r="G28" s="8">
        <v>0</v>
      </c>
      <c r="H28" s="8">
        <v>0</v>
      </c>
      <c r="I28" s="8">
        <v>0</v>
      </c>
      <c r="J28" s="8">
        <v>7</v>
      </c>
      <c r="K28" s="8">
        <v>0</v>
      </c>
      <c r="L28" s="8">
        <v>2</v>
      </c>
      <c r="M28" s="8">
        <v>5</v>
      </c>
      <c r="N28" s="8">
        <v>5</v>
      </c>
      <c r="O28" s="8">
        <v>12</v>
      </c>
      <c r="P28" s="8">
        <f t="shared" si="0"/>
        <v>-7</v>
      </c>
      <c r="Q28" s="8">
        <f t="shared" si="1"/>
        <v>2</v>
      </c>
      <c r="R28" s="19">
        <f t="shared" si="2"/>
        <v>0</v>
      </c>
    </row>
    <row r="29" spans="1:18" ht="15" customHeight="1" x14ac:dyDescent="0.25">
      <c r="A29" s="8">
        <v>27</v>
      </c>
      <c r="B29" s="17" t="s">
        <v>181</v>
      </c>
      <c r="C29" s="8" t="s">
        <v>130</v>
      </c>
      <c r="D29" s="8">
        <v>7</v>
      </c>
      <c r="E29" s="18">
        <v>1978</v>
      </c>
      <c r="F29" s="17" t="s">
        <v>246</v>
      </c>
      <c r="G29" s="8">
        <v>0</v>
      </c>
      <c r="H29" s="8">
        <v>0</v>
      </c>
      <c r="I29" s="8">
        <v>0</v>
      </c>
      <c r="J29" s="8">
        <v>18</v>
      </c>
      <c r="K29" s="8">
        <v>3</v>
      </c>
      <c r="L29" s="8">
        <v>4</v>
      </c>
      <c r="M29" s="8">
        <v>11</v>
      </c>
      <c r="N29" s="8">
        <v>13</v>
      </c>
      <c r="O29" s="8">
        <v>31</v>
      </c>
      <c r="P29" s="8">
        <f t="shared" si="0"/>
        <v>-18</v>
      </c>
      <c r="Q29" s="8">
        <f t="shared" si="1"/>
        <v>13</v>
      </c>
      <c r="R29" s="19">
        <f t="shared" si="2"/>
        <v>0.16666666666666666</v>
      </c>
    </row>
    <row r="30" spans="1:18" ht="15" customHeight="1" x14ac:dyDescent="0.25">
      <c r="A30" s="8">
        <v>28</v>
      </c>
      <c r="B30" s="17" t="s">
        <v>183</v>
      </c>
      <c r="C30" s="8" t="s">
        <v>185</v>
      </c>
      <c r="D30" s="8">
        <v>3</v>
      </c>
      <c r="E30" s="18">
        <v>1982</v>
      </c>
      <c r="F30" s="17" t="s">
        <v>246</v>
      </c>
      <c r="G30" s="8">
        <v>0</v>
      </c>
      <c r="H30" s="8">
        <v>0</v>
      </c>
      <c r="I30" s="8">
        <v>0</v>
      </c>
      <c r="J30" s="8">
        <v>6</v>
      </c>
      <c r="K30" s="8">
        <v>0</v>
      </c>
      <c r="L30" s="8">
        <v>3</v>
      </c>
      <c r="M30" s="8">
        <v>3</v>
      </c>
      <c r="N30" s="8">
        <v>4</v>
      </c>
      <c r="O30" s="8">
        <v>14</v>
      </c>
      <c r="P30" s="8">
        <f t="shared" si="0"/>
        <v>-10</v>
      </c>
      <c r="Q30" s="8">
        <f t="shared" si="1"/>
        <v>3</v>
      </c>
      <c r="R30" s="19">
        <f t="shared" si="2"/>
        <v>0</v>
      </c>
    </row>
    <row r="31" spans="1:18" ht="15" customHeight="1" x14ac:dyDescent="0.25">
      <c r="A31" s="11">
        <v>29</v>
      </c>
      <c r="B31" s="20" t="s">
        <v>186</v>
      </c>
      <c r="C31" s="11" t="s">
        <v>133</v>
      </c>
      <c r="D31" s="11">
        <v>17</v>
      </c>
      <c r="E31" s="21">
        <v>1934</v>
      </c>
      <c r="F31" s="20" t="s">
        <v>264</v>
      </c>
      <c r="G31" s="11">
        <v>1</v>
      </c>
      <c r="H31" s="11">
        <v>0</v>
      </c>
      <c r="I31" s="11">
        <v>0</v>
      </c>
      <c r="J31" s="11">
        <v>67</v>
      </c>
      <c r="K31" s="11">
        <v>31</v>
      </c>
      <c r="L31" s="11">
        <v>17</v>
      </c>
      <c r="M31" s="11">
        <v>19</v>
      </c>
      <c r="N31" s="11">
        <v>108</v>
      </c>
      <c r="O31" s="11">
        <v>75</v>
      </c>
      <c r="P31" s="11">
        <f t="shared" si="0"/>
        <v>33</v>
      </c>
      <c r="Q31" s="11">
        <f t="shared" si="1"/>
        <v>110</v>
      </c>
      <c r="R31" s="22">
        <f t="shared" si="2"/>
        <v>0.46268656716417911</v>
      </c>
    </row>
    <row r="32" spans="1:18" ht="15" customHeight="1" x14ac:dyDescent="0.25">
      <c r="A32" s="11">
        <v>30</v>
      </c>
      <c r="B32" s="20" t="s">
        <v>189</v>
      </c>
      <c r="C32" s="11" t="s">
        <v>127</v>
      </c>
      <c r="D32" s="11">
        <v>1</v>
      </c>
      <c r="E32" s="21">
        <v>2026</v>
      </c>
      <c r="F32" s="20" t="s">
        <v>257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f t="shared" si="0"/>
        <v>0</v>
      </c>
      <c r="Q32" s="11">
        <f t="shared" si="1"/>
        <v>0</v>
      </c>
      <c r="R32" s="22" t="str">
        <f t="shared" si="2"/>
        <v/>
      </c>
    </row>
    <row r="33" spans="1:18" ht="15" customHeight="1" x14ac:dyDescent="0.25">
      <c r="A33" s="11">
        <v>31</v>
      </c>
      <c r="B33" s="20" t="s">
        <v>191</v>
      </c>
      <c r="C33" s="11" t="s">
        <v>130</v>
      </c>
      <c r="D33" s="11">
        <v>7</v>
      </c>
      <c r="E33" s="21">
        <v>1994</v>
      </c>
      <c r="F33" s="20" t="s">
        <v>265</v>
      </c>
      <c r="G33" s="11">
        <v>0</v>
      </c>
      <c r="H33" s="11">
        <v>0</v>
      </c>
      <c r="I33" s="11">
        <v>0</v>
      </c>
      <c r="J33" s="11">
        <v>19</v>
      </c>
      <c r="K33" s="11">
        <v>4</v>
      </c>
      <c r="L33" s="11">
        <v>2</v>
      </c>
      <c r="M33" s="11">
        <v>13</v>
      </c>
      <c r="N33" s="11">
        <v>14</v>
      </c>
      <c r="O33" s="11">
        <v>44</v>
      </c>
      <c r="P33" s="11">
        <f t="shared" si="0"/>
        <v>-30</v>
      </c>
      <c r="Q33" s="11">
        <f t="shared" si="1"/>
        <v>14</v>
      </c>
      <c r="R33" s="22">
        <f t="shared" si="2"/>
        <v>0.21052631578947367</v>
      </c>
    </row>
    <row r="34" spans="1:18" ht="15" customHeight="1" x14ac:dyDescent="0.25">
      <c r="A34" s="11">
        <v>32</v>
      </c>
      <c r="B34" s="20" t="s">
        <v>193</v>
      </c>
      <c r="C34" s="11" t="s">
        <v>145</v>
      </c>
      <c r="D34" s="11">
        <v>15</v>
      </c>
      <c r="E34" s="21">
        <v>1930</v>
      </c>
      <c r="F34" s="20" t="s">
        <v>266</v>
      </c>
      <c r="G34" s="11">
        <v>2</v>
      </c>
      <c r="H34" s="11">
        <v>0</v>
      </c>
      <c r="I34" s="11">
        <v>0</v>
      </c>
      <c r="J34" s="11">
        <v>59</v>
      </c>
      <c r="K34" s="11">
        <v>25</v>
      </c>
      <c r="L34" s="11">
        <v>13</v>
      </c>
      <c r="M34" s="11">
        <v>21</v>
      </c>
      <c r="N34" s="11">
        <v>89</v>
      </c>
      <c r="O34" s="11">
        <v>76</v>
      </c>
      <c r="P34" s="11">
        <f t="shared" si="0"/>
        <v>13</v>
      </c>
      <c r="Q34" s="11">
        <f t="shared" si="1"/>
        <v>88</v>
      </c>
      <c r="R34" s="22">
        <f t="shared" si="2"/>
        <v>0.42372881355932202</v>
      </c>
    </row>
    <row r="35" spans="1:18" ht="15" customHeight="1" x14ac:dyDescent="0.25">
      <c r="A35" s="8">
        <v>33</v>
      </c>
      <c r="B35" s="17" t="s">
        <v>195</v>
      </c>
      <c r="C35" s="8" t="s">
        <v>133</v>
      </c>
      <c r="D35" s="8">
        <v>17</v>
      </c>
      <c r="E35" s="18">
        <v>1930</v>
      </c>
      <c r="F35" s="17" t="s">
        <v>267</v>
      </c>
      <c r="G35" s="8">
        <v>2</v>
      </c>
      <c r="H35" s="8">
        <v>2</v>
      </c>
      <c r="I35" s="8">
        <v>2</v>
      </c>
      <c r="J35" s="8">
        <v>73</v>
      </c>
      <c r="K35" s="8">
        <v>39</v>
      </c>
      <c r="L35" s="8">
        <v>14</v>
      </c>
      <c r="M35" s="8">
        <v>20</v>
      </c>
      <c r="N35" s="8">
        <v>136</v>
      </c>
      <c r="O35" s="8">
        <v>85</v>
      </c>
      <c r="P35" s="8">
        <f t="shared" si="0"/>
        <v>51</v>
      </c>
      <c r="Q35" s="8">
        <f t="shared" si="1"/>
        <v>131</v>
      </c>
      <c r="R35" s="19">
        <f t="shared" si="2"/>
        <v>0.53424657534246578</v>
      </c>
    </row>
    <row r="36" spans="1:18" ht="15" customHeight="1" x14ac:dyDescent="0.25">
      <c r="A36" s="8">
        <v>34</v>
      </c>
      <c r="B36" s="17" t="s">
        <v>35</v>
      </c>
      <c r="C36" s="8" t="s">
        <v>127</v>
      </c>
      <c r="D36" s="8">
        <v>4</v>
      </c>
      <c r="E36" s="18">
        <v>2002</v>
      </c>
      <c r="F36" s="17" t="s">
        <v>268</v>
      </c>
      <c r="G36" s="8">
        <v>0</v>
      </c>
      <c r="H36" s="8">
        <v>0</v>
      </c>
      <c r="I36" s="8">
        <v>0</v>
      </c>
      <c r="J36" s="8">
        <v>12</v>
      </c>
      <c r="K36" s="8">
        <v>5</v>
      </c>
      <c r="L36" s="8">
        <v>3</v>
      </c>
      <c r="M36" s="8">
        <v>4</v>
      </c>
      <c r="N36" s="8">
        <v>16</v>
      </c>
      <c r="O36" s="8">
        <v>17</v>
      </c>
      <c r="P36" s="8">
        <f t="shared" si="0"/>
        <v>-1</v>
      </c>
      <c r="Q36" s="8">
        <f t="shared" si="1"/>
        <v>18</v>
      </c>
      <c r="R36" s="19">
        <f t="shared" si="2"/>
        <v>0.41666666666666669</v>
      </c>
    </row>
    <row r="37" spans="1:18" ht="15" customHeight="1" x14ac:dyDescent="0.25">
      <c r="A37" s="8">
        <v>35</v>
      </c>
      <c r="B37" s="17" t="s">
        <v>199</v>
      </c>
      <c r="C37" s="8" t="s">
        <v>130</v>
      </c>
      <c r="D37" s="8">
        <v>2</v>
      </c>
      <c r="E37" s="18">
        <v>1986</v>
      </c>
      <c r="F37" s="17" t="s">
        <v>246</v>
      </c>
      <c r="G37" s="8">
        <v>0</v>
      </c>
      <c r="H37" s="8">
        <v>0</v>
      </c>
      <c r="I37" s="8">
        <v>0</v>
      </c>
      <c r="J37" s="8">
        <v>3</v>
      </c>
      <c r="K37" s="8">
        <v>0</v>
      </c>
      <c r="L37" s="8">
        <v>0</v>
      </c>
      <c r="M37" s="8">
        <v>3</v>
      </c>
      <c r="N37" s="8">
        <v>1</v>
      </c>
      <c r="O37" s="8">
        <v>4</v>
      </c>
      <c r="P37" s="8">
        <f t="shared" si="0"/>
        <v>-3</v>
      </c>
      <c r="Q37" s="8">
        <f t="shared" si="1"/>
        <v>0</v>
      </c>
      <c r="R37" s="19">
        <f t="shared" si="2"/>
        <v>0</v>
      </c>
    </row>
    <row r="38" spans="1:18" ht="15" customHeight="1" x14ac:dyDescent="0.25">
      <c r="A38" s="8">
        <v>36</v>
      </c>
      <c r="B38" s="17" t="s">
        <v>201</v>
      </c>
      <c r="C38" s="8" t="s">
        <v>133</v>
      </c>
      <c r="D38" s="8">
        <v>4</v>
      </c>
      <c r="E38" s="18">
        <v>1938</v>
      </c>
      <c r="F38" s="17" t="s">
        <v>269</v>
      </c>
      <c r="G38" s="8">
        <v>0</v>
      </c>
      <c r="H38" s="8">
        <v>0</v>
      </c>
      <c r="I38" s="8">
        <v>0</v>
      </c>
      <c r="J38" s="8">
        <v>8</v>
      </c>
      <c r="K38" s="8">
        <v>2</v>
      </c>
      <c r="L38" s="8">
        <v>3</v>
      </c>
      <c r="M38" s="8">
        <v>3</v>
      </c>
      <c r="N38" s="8">
        <v>7</v>
      </c>
      <c r="O38" s="8">
        <v>8</v>
      </c>
      <c r="P38" s="8">
        <f t="shared" si="0"/>
        <v>-1</v>
      </c>
      <c r="Q38" s="8">
        <f t="shared" si="1"/>
        <v>9</v>
      </c>
      <c r="R38" s="19">
        <f t="shared" si="2"/>
        <v>0.25</v>
      </c>
    </row>
    <row r="39" spans="1:18" ht="15" customHeight="1" x14ac:dyDescent="0.25">
      <c r="A39" s="11">
        <v>37</v>
      </c>
      <c r="B39" s="20" t="s">
        <v>203</v>
      </c>
      <c r="C39" s="11" t="s">
        <v>145</v>
      </c>
      <c r="D39" s="11">
        <v>19</v>
      </c>
      <c r="E39" s="21">
        <v>1930</v>
      </c>
      <c r="F39" s="20" t="s">
        <v>270</v>
      </c>
      <c r="G39" s="11">
        <v>3</v>
      </c>
      <c r="H39" s="11">
        <v>3</v>
      </c>
      <c r="I39" s="11">
        <v>0</v>
      </c>
      <c r="J39" s="11">
        <v>88</v>
      </c>
      <c r="K39" s="11">
        <v>47</v>
      </c>
      <c r="L39" s="11">
        <v>17</v>
      </c>
      <c r="M39" s="11">
        <v>24</v>
      </c>
      <c r="N39" s="11">
        <v>152</v>
      </c>
      <c r="O39" s="11">
        <v>101</v>
      </c>
      <c r="P39" s="11">
        <f t="shared" si="0"/>
        <v>51</v>
      </c>
      <c r="Q39" s="11">
        <f t="shared" si="1"/>
        <v>158</v>
      </c>
      <c r="R39" s="22">
        <f t="shared" si="2"/>
        <v>0.53409090909090906</v>
      </c>
    </row>
    <row r="40" spans="1:18" ht="15" customHeight="1" x14ac:dyDescent="0.25">
      <c r="A40" s="11">
        <v>38</v>
      </c>
      <c r="B40" s="20" t="s">
        <v>45</v>
      </c>
      <c r="C40" s="11" t="s">
        <v>127</v>
      </c>
      <c r="D40" s="11">
        <v>5</v>
      </c>
      <c r="E40" s="21">
        <v>1982</v>
      </c>
      <c r="F40" s="20" t="s">
        <v>271</v>
      </c>
      <c r="G40" s="11">
        <v>0</v>
      </c>
      <c r="H40" s="11">
        <v>0</v>
      </c>
      <c r="I40" s="11">
        <v>0</v>
      </c>
      <c r="J40" s="11">
        <v>13</v>
      </c>
      <c r="K40" s="11">
        <v>3</v>
      </c>
      <c r="L40" s="11">
        <v>3</v>
      </c>
      <c r="M40" s="11">
        <v>7</v>
      </c>
      <c r="N40" s="11">
        <v>13</v>
      </c>
      <c r="O40" s="11">
        <v>19</v>
      </c>
      <c r="P40" s="11">
        <f t="shared" si="0"/>
        <v>-6</v>
      </c>
      <c r="Q40" s="11">
        <f t="shared" si="1"/>
        <v>12</v>
      </c>
      <c r="R40" s="22">
        <f t="shared" si="2"/>
        <v>0.23076923076923078</v>
      </c>
    </row>
    <row r="41" spans="1:18" ht="15" customHeight="1" x14ac:dyDescent="0.25">
      <c r="A41" s="11">
        <v>39</v>
      </c>
      <c r="B41" s="20" t="s">
        <v>207</v>
      </c>
      <c r="C41" s="11" t="s">
        <v>133</v>
      </c>
      <c r="D41" s="11">
        <v>8</v>
      </c>
      <c r="E41" s="21">
        <v>1934</v>
      </c>
      <c r="F41" s="20" t="s">
        <v>272</v>
      </c>
      <c r="G41" s="11">
        <v>0</v>
      </c>
      <c r="H41" s="11">
        <v>0</v>
      </c>
      <c r="I41" s="11">
        <v>1</v>
      </c>
      <c r="J41" s="11">
        <v>29</v>
      </c>
      <c r="K41" s="11">
        <v>12</v>
      </c>
      <c r="L41" s="11">
        <v>4</v>
      </c>
      <c r="M41" s="11">
        <v>13</v>
      </c>
      <c r="N41" s="11">
        <v>43</v>
      </c>
      <c r="O41" s="11">
        <v>47</v>
      </c>
      <c r="P41" s="11">
        <f t="shared" si="0"/>
        <v>-4</v>
      </c>
      <c r="Q41" s="11">
        <f t="shared" si="1"/>
        <v>40</v>
      </c>
      <c r="R41" s="22">
        <f t="shared" si="2"/>
        <v>0.41379310344827586</v>
      </c>
    </row>
    <row r="42" spans="1:18" ht="15" customHeight="1" x14ac:dyDescent="0.25">
      <c r="A42" s="11">
        <v>40</v>
      </c>
      <c r="B42" s="20" t="s">
        <v>209</v>
      </c>
      <c r="C42" s="11" t="s">
        <v>130</v>
      </c>
      <c r="D42" s="11">
        <v>1</v>
      </c>
      <c r="E42" s="21">
        <v>2026</v>
      </c>
      <c r="F42" s="20" t="s">
        <v>257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f t="shared" si="0"/>
        <v>0</v>
      </c>
      <c r="Q42" s="11">
        <f t="shared" si="1"/>
        <v>0</v>
      </c>
      <c r="R42" s="22" t="str">
        <f t="shared" si="2"/>
        <v/>
      </c>
    </row>
    <row r="43" spans="1:18" ht="15" customHeight="1" x14ac:dyDescent="0.25">
      <c r="A43" s="8">
        <v>41</v>
      </c>
      <c r="B43" s="17" t="s">
        <v>211</v>
      </c>
      <c r="C43" s="8" t="s">
        <v>133</v>
      </c>
      <c r="D43" s="8">
        <v>9</v>
      </c>
      <c r="E43" s="18">
        <v>1966</v>
      </c>
      <c r="F43" s="17" t="s">
        <v>273</v>
      </c>
      <c r="G43" s="8">
        <v>0</v>
      </c>
      <c r="H43" s="8">
        <v>0</v>
      </c>
      <c r="I43" s="8">
        <v>1</v>
      </c>
      <c r="J43" s="8">
        <v>35</v>
      </c>
      <c r="K43" s="8">
        <v>17</v>
      </c>
      <c r="L43" s="8">
        <v>6</v>
      </c>
      <c r="M43" s="8">
        <v>12</v>
      </c>
      <c r="N43" s="8">
        <v>61</v>
      </c>
      <c r="O43" s="8">
        <v>41</v>
      </c>
      <c r="P43" s="8">
        <f t="shared" si="0"/>
        <v>20</v>
      </c>
      <c r="Q43" s="8">
        <f t="shared" si="1"/>
        <v>57</v>
      </c>
      <c r="R43" s="19">
        <f t="shared" si="2"/>
        <v>0.48571428571428571</v>
      </c>
    </row>
    <row r="44" spans="1:18" ht="15" customHeight="1" x14ac:dyDescent="0.25">
      <c r="A44" s="8">
        <v>42</v>
      </c>
      <c r="B44" s="17" t="s">
        <v>32</v>
      </c>
      <c r="C44" s="8" t="s">
        <v>127</v>
      </c>
      <c r="D44" s="8">
        <v>2</v>
      </c>
      <c r="E44" s="18">
        <v>1974</v>
      </c>
      <c r="F44" s="17" t="s">
        <v>274</v>
      </c>
      <c r="G44" s="8">
        <v>0</v>
      </c>
      <c r="H44" s="8">
        <v>0</v>
      </c>
      <c r="I44" s="8">
        <v>0</v>
      </c>
      <c r="J44" s="8">
        <v>3</v>
      </c>
      <c r="K44" s="8">
        <v>0</v>
      </c>
      <c r="L44" s="8">
        <v>0</v>
      </c>
      <c r="M44" s="8">
        <v>3</v>
      </c>
      <c r="N44" s="8">
        <v>0</v>
      </c>
      <c r="O44" s="8">
        <v>14</v>
      </c>
      <c r="P44" s="8">
        <f t="shared" si="0"/>
        <v>-14</v>
      </c>
      <c r="Q44" s="8">
        <f t="shared" si="1"/>
        <v>0</v>
      </c>
      <c r="R44" s="19">
        <f t="shared" si="2"/>
        <v>0</v>
      </c>
    </row>
    <row r="45" spans="1:18" ht="15" customHeight="1" x14ac:dyDescent="0.25">
      <c r="A45" s="8">
        <v>43</v>
      </c>
      <c r="B45" s="17" t="s">
        <v>215</v>
      </c>
      <c r="C45" s="8" t="s">
        <v>130</v>
      </c>
      <c r="D45" s="8">
        <v>1</v>
      </c>
      <c r="E45" s="18">
        <v>2026</v>
      </c>
      <c r="F45" s="17" t="s">
        <v>257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f t="shared" si="0"/>
        <v>0</v>
      </c>
      <c r="Q45" s="8">
        <f t="shared" si="1"/>
        <v>0</v>
      </c>
      <c r="R45" s="19" t="str">
        <f t="shared" si="2"/>
        <v/>
      </c>
    </row>
    <row r="46" spans="1:18" ht="15" customHeight="1" x14ac:dyDescent="0.25">
      <c r="A46" s="8">
        <v>44</v>
      </c>
      <c r="B46" s="17" t="s">
        <v>217</v>
      </c>
      <c r="C46" s="8" t="s">
        <v>145</v>
      </c>
      <c r="D46" s="8">
        <v>7</v>
      </c>
      <c r="E46" s="18">
        <v>1962</v>
      </c>
      <c r="F46" s="17" t="s">
        <v>275</v>
      </c>
      <c r="G46" s="8">
        <v>0</v>
      </c>
      <c r="H46" s="8">
        <v>0</v>
      </c>
      <c r="I46" s="8">
        <v>0</v>
      </c>
      <c r="J46" s="8">
        <v>22</v>
      </c>
      <c r="K46" s="8">
        <v>9</v>
      </c>
      <c r="L46" s="8">
        <v>3</v>
      </c>
      <c r="M46" s="8">
        <v>10</v>
      </c>
      <c r="N46" s="8">
        <v>32</v>
      </c>
      <c r="O46" s="8">
        <v>30</v>
      </c>
      <c r="P46" s="8">
        <f t="shared" si="0"/>
        <v>2</v>
      </c>
      <c r="Q46" s="8">
        <f t="shared" si="1"/>
        <v>30</v>
      </c>
      <c r="R46" s="19">
        <f t="shared" si="2"/>
        <v>0.40909090909090912</v>
      </c>
    </row>
    <row r="47" spans="1:18" ht="15" customHeight="1" x14ac:dyDescent="0.25">
      <c r="A47" s="11">
        <v>45</v>
      </c>
      <c r="B47" s="20" t="s">
        <v>219</v>
      </c>
      <c r="C47" s="11" t="s">
        <v>133</v>
      </c>
      <c r="D47" s="11">
        <v>17</v>
      </c>
      <c r="E47" s="21">
        <v>1950</v>
      </c>
      <c r="F47" s="20" t="s">
        <v>276</v>
      </c>
      <c r="G47" s="11">
        <v>1</v>
      </c>
      <c r="H47" s="11">
        <v>0</v>
      </c>
      <c r="I47" s="11">
        <v>0</v>
      </c>
      <c r="J47" s="11">
        <v>74</v>
      </c>
      <c r="K47" s="11">
        <v>32</v>
      </c>
      <c r="L47" s="11">
        <v>22</v>
      </c>
      <c r="M47" s="11">
        <v>20</v>
      </c>
      <c r="N47" s="11">
        <v>104</v>
      </c>
      <c r="O47" s="11">
        <v>68</v>
      </c>
      <c r="P47" s="11">
        <f t="shared" si="0"/>
        <v>36</v>
      </c>
      <c r="Q47" s="11">
        <f t="shared" si="1"/>
        <v>118</v>
      </c>
      <c r="R47" s="22">
        <f t="shared" si="2"/>
        <v>0.43243243243243246</v>
      </c>
    </row>
    <row r="48" spans="1:18" ht="15" customHeight="1" x14ac:dyDescent="0.25">
      <c r="A48" s="11">
        <v>46</v>
      </c>
      <c r="B48" s="20" t="s">
        <v>222</v>
      </c>
      <c r="C48" s="11" t="s">
        <v>133</v>
      </c>
      <c r="D48" s="11">
        <v>7</v>
      </c>
      <c r="E48" s="21">
        <v>1998</v>
      </c>
      <c r="F48" s="20" t="s">
        <v>277</v>
      </c>
      <c r="G48" s="11">
        <v>0</v>
      </c>
      <c r="H48" s="11">
        <v>1</v>
      </c>
      <c r="I48" s="11">
        <v>2</v>
      </c>
      <c r="J48" s="11">
        <v>30</v>
      </c>
      <c r="K48" s="11">
        <v>13</v>
      </c>
      <c r="L48" s="11">
        <v>8</v>
      </c>
      <c r="M48" s="11">
        <v>9</v>
      </c>
      <c r="N48" s="11">
        <v>43</v>
      </c>
      <c r="O48" s="11">
        <v>33</v>
      </c>
      <c r="P48" s="11">
        <f t="shared" si="0"/>
        <v>10</v>
      </c>
      <c r="Q48" s="11">
        <f t="shared" si="1"/>
        <v>47</v>
      </c>
      <c r="R48" s="22">
        <f t="shared" si="2"/>
        <v>0.43333333333333335</v>
      </c>
    </row>
    <row r="49" spans="1:18" ht="15" customHeight="1" x14ac:dyDescent="0.25">
      <c r="A49" s="11">
        <v>47</v>
      </c>
      <c r="B49" s="20" t="s">
        <v>52</v>
      </c>
      <c r="C49" s="11" t="s">
        <v>127</v>
      </c>
      <c r="D49" s="11">
        <v>5</v>
      </c>
      <c r="E49" s="21">
        <v>2006</v>
      </c>
      <c r="F49" s="20" t="s">
        <v>253</v>
      </c>
      <c r="G49" s="11">
        <v>0</v>
      </c>
      <c r="H49" s="11">
        <v>0</v>
      </c>
      <c r="I49" s="11">
        <v>0</v>
      </c>
      <c r="J49" s="11">
        <v>15</v>
      </c>
      <c r="K49" s="11">
        <v>5</v>
      </c>
      <c r="L49" s="11">
        <v>3</v>
      </c>
      <c r="M49" s="11">
        <v>7</v>
      </c>
      <c r="N49" s="11">
        <v>18</v>
      </c>
      <c r="O49" s="11">
        <v>23</v>
      </c>
      <c r="P49" s="11">
        <f t="shared" si="0"/>
        <v>-5</v>
      </c>
      <c r="Q49" s="11">
        <f t="shared" si="1"/>
        <v>18</v>
      </c>
      <c r="R49" s="22">
        <f t="shared" si="2"/>
        <v>0.33333333333333331</v>
      </c>
    </row>
    <row r="50" spans="1:18" ht="15" customHeight="1" x14ac:dyDescent="0.25">
      <c r="A50" s="11">
        <v>48</v>
      </c>
      <c r="B50" s="20" t="s">
        <v>225</v>
      </c>
      <c r="C50" s="11" t="s">
        <v>122</v>
      </c>
      <c r="D50" s="11">
        <v>2</v>
      </c>
      <c r="E50" s="21">
        <v>2018</v>
      </c>
      <c r="F50" s="20" t="s">
        <v>246</v>
      </c>
      <c r="G50" s="11">
        <v>0</v>
      </c>
      <c r="H50" s="11">
        <v>0</v>
      </c>
      <c r="I50" s="11">
        <v>0</v>
      </c>
      <c r="J50" s="11">
        <v>3</v>
      </c>
      <c r="K50" s="11">
        <v>0</v>
      </c>
      <c r="L50" s="11">
        <v>0</v>
      </c>
      <c r="M50" s="11">
        <v>3</v>
      </c>
      <c r="N50" s="11">
        <v>2</v>
      </c>
      <c r="O50" s="11">
        <v>11</v>
      </c>
      <c r="P50" s="11">
        <f t="shared" si="0"/>
        <v>-9</v>
      </c>
      <c r="Q50" s="11">
        <f t="shared" si="1"/>
        <v>0</v>
      </c>
      <c r="R50" s="22">
        <f t="shared" si="2"/>
        <v>0</v>
      </c>
    </row>
    <row r="51" spans="1:18" ht="15.75" customHeight="1" x14ac:dyDescent="0.25"/>
    <row r="52" spans="1:18" ht="15" customHeight="1" x14ac:dyDescent="0.25">
      <c r="B52" s="36" t="s">
        <v>278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</row>
    <row r="53" spans="1:18" ht="15" customHeight="1" x14ac:dyDescent="0.25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</row>
    <row r="54" spans="1:18" ht="15" customHeight="1" x14ac:dyDescent="0.25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</row>
    <row r="55" spans="1:18" ht="15.75" customHeight="1" x14ac:dyDescent="0.25"/>
    <row r="56" spans="1:18" ht="15.75" customHeight="1" x14ac:dyDescent="0.25"/>
    <row r="57" spans="1:18" ht="15.75" customHeight="1" x14ac:dyDescent="0.25"/>
    <row r="58" spans="1:18" ht="15.75" customHeight="1" x14ac:dyDescent="0.25"/>
    <row r="59" spans="1:18" ht="15.75" customHeight="1" x14ac:dyDescent="0.25"/>
    <row r="60" spans="1:18" ht="15.75" customHeight="1" x14ac:dyDescent="0.25"/>
    <row r="61" spans="1:18" ht="15.75" customHeight="1" x14ac:dyDescent="0.25"/>
    <row r="62" spans="1:18" ht="15.75" customHeight="1" x14ac:dyDescent="0.25"/>
    <row r="63" spans="1:18" ht="15.75" customHeight="1" x14ac:dyDescent="0.25"/>
    <row r="64" spans="1:1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R1"/>
    <mergeCell ref="B52:R54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 x14ac:dyDescent="0.25"/>
  <cols>
    <col min="1" max="1" width="5" customWidth="1"/>
    <col min="2" max="3" width="22" customWidth="1"/>
    <col min="4" max="4" width="16" customWidth="1"/>
    <col min="5" max="5" width="15" customWidth="1"/>
    <col min="6" max="6" width="26" customWidth="1"/>
    <col min="7" max="7" width="46" customWidth="1"/>
    <col min="8" max="26" width="8.7109375" customWidth="1"/>
  </cols>
  <sheetData>
    <row r="1" spans="1:10" ht="24" customHeight="1" x14ac:dyDescent="0.25">
      <c r="A1" s="35" t="s">
        <v>279</v>
      </c>
      <c r="B1" s="33"/>
      <c r="C1" s="33"/>
      <c r="D1" s="33"/>
      <c r="E1" s="33"/>
      <c r="F1" s="33"/>
      <c r="G1" s="33"/>
    </row>
    <row r="2" spans="1:10" ht="15" customHeight="1" x14ac:dyDescent="0.25">
      <c r="A2" s="16" t="s">
        <v>109</v>
      </c>
      <c r="B2" s="16" t="s">
        <v>110</v>
      </c>
      <c r="C2" s="16" t="s">
        <v>280</v>
      </c>
      <c r="D2" s="16" t="s">
        <v>281</v>
      </c>
      <c r="E2" s="16" t="s">
        <v>282</v>
      </c>
      <c r="F2" s="16" t="s">
        <v>283</v>
      </c>
      <c r="G2" s="16" t="s">
        <v>284</v>
      </c>
      <c r="H2" s="23" t="s">
        <v>285</v>
      </c>
      <c r="I2" s="23" t="s">
        <v>286</v>
      </c>
      <c r="J2" s="23" t="s">
        <v>287</v>
      </c>
    </row>
    <row r="3" spans="1:10" ht="23.25" customHeight="1" x14ac:dyDescent="0.25">
      <c r="A3" s="8">
        <v>1</v>
      </c>
      <c r="B3" s="9" t="s">
        <v>119</v>
      </c>
      <c r="C3" s="9" t="s">
        <v>288</v>
      </c>
      <c r="D3" s="9" t="s">
        <v>119</v>
      </c>
      <c r="E3" s="8">
        <v>2024</v>
      </c>
      <c r="F3" s="9" t="s">
        <v>289</v>
      </c>
      <c r="G3" s="9" t="s">
        <v>290</v>
      </c>
      <c r="H3" s="23">
        <v>24</v>
      </c>
      <c r="I3" s="23">
        <v>22</v>
      </c>
      <c r="J3" s="23">
        <v>46</v>
      </c>
    </row>
    <row r="4" spans="1:10" ht="15" customHeight="1" x14ac:dyDescent="0.25">
      <c r="A4" s="8">
        <v>2</v>
      </c>
      <c r="B4" s="9" t="s">
        <v>125</v>
      </c>
      <c r="C4" s="9" t="s">
        <v>291</v>
      </c>
      <c r="D4" s="9" t="s">
        <v>176</v>
      </c>
      <c r="E4" s="8">
        <v>2021</v>
      </c>
      <c r="F4" s="9" t="s">
        <v>292</v>
      </c>
      <c r="G4" s="9" t="s">
        <v>293</v>
      </c>
      <c r="H4" s="23">
        <v>30</v>
      </c>
      <c r="I4" s="23">
        <v>10</v>
      </c>
      <c r="J4" s="23">
        <v>40</v>
      </c>
    </row>
    <row r="5" spans="1:10" ht="15" customHeight="1" x14ac:dyDescent="0.25">
      <c r="A5" s="8">
        <v>3</v>
      </c>
      <c r="B5" s="9" t="s">
        <v>128</v>
      </c>
      <c r="C5" s="9" t="s">
        <v>294</v>
      </c>
      <c r="D5" s="9" t="s">
        <v>128</v>
      </c>
      <c r="E5" s="8">
        <v>2024</v>
      </c>
      <c r="F5" s="9" t="s">
        <v>295</v>
      </c>
      <c r="G5" s="9" t="s">
        <v>296</v>
      </c>
      <c r="H5" s="23">
        <v>18</v>
      </c>
      <c r="I5" s="23">
        <v>12</v>
      </c>
      <c r="J5" s="23">
        <v>30</v>
      </c>
    </row>
    <row r="6" spans="1:10" ht="15" customHeight="1" x14ac:dyDescent="0.25">
      <c r="A6" s="8">
        <v>4</v>
      </c>
      <c r="B6" s="9" t="s">
        <v>131</v>
      </c>
      <c r="C6" s="9" t="s">
        <v>297</v>
      </c>
      <c r="D6" s="9" t="s">
        <v>131</v>
      </c>
      <c r="E6" s="8">
        <v>2024</v>
      </c>
      <c r="F6" s="9" t="s">
        <v>298</v>
      </c>
      <c r="G6" s="9"/>
      <c r="H6" s="23">
        <v>8</v>
      </c>
      <c r="I6" s="23">
        <v>12</v>
      </c>
      <c r="J6" s="23">
        <v>20</v>
      </c>
    </row>
    <row r="7" spans="1:10" ht="15" customHeight="1" x14ac:dyDescent="0.25">
      <c r="A7" s="11">
        <v>5</v>
      </c>
      <c r="B7" s="12" t="s">
        <v>134</v>
      </c>
      <c r="C7" s="12" t="s">
        <v>299</v>
      </c>
      <c r="D7" s="12" t="s">
        <v>152</v>
      </c>
      <c r="E7" s="11">
        <v>2024</v>
      </c>
      <c r="F7" s="12" t="s">
        <v>300</v>
      </c>
      <c r="G7" s="12" t="s">
        <v>301</v>
      </c>
      <c r="H7" s="23">
        <v>14</v>
      </c>
      <c r="I7" s="23">
        <v>22</v>
      </c>
      <c r="J7" s="23">
        <v>36</v>
      </c>
    </row>
    <row r="8" spans="1:10" ht="23.25" customHeight="1" x14ac:dyDescent="0.25">
      <c r="A8" s="11">
        <v>6</v>
      </c>
      <c r="B8" s="12" t="s">
        <v>38</v>
      </c>
      <c r="C8" s="12" t="s">
        <v>302</v>
      </c>
      <c r="D8" s="12" t="s">
        <v>38</v>
      </c>
      <c r="E8" s="11">
        <v>2024</v>
      </c>
      <c r="F8" s="12" t="s">
        <v>303</v>
      </c>
      <c r="G8" s="12" t="s">
        <v>304</v>
      </c>
      <c r="H8" s="23">
        <v>6</v>
      </c>
      <c r="I8" s="23">
        <v>6</v>
      </c>
      <c r="J8" s="23">
        <v>12</v>
      </c>
    </row>
    <row r="9" spans="1:10" ht="23.25" customHeight="1" x14ac:dyDescent="0.25">
      <c r="A9" s="11">
        <v>7</v>
      </c>
      <c r="B9" s="12" t="s">
        <v>138</v>
      </c>
      <c r="C9" s="12" t="s">
        <v>305</v>
      </c>
      <c r="D9" s="12" t="s">
        <v>186</v>
      </c>
      <c r="E9" s="11">
        <v>2025</v>
      </c>
      <c r="F9" s="12" t="s">
        <v>306</v>
      </c>
      <c r="G9" s="12" t="s">
        <v>307</v>
      </c>
      <c r="H9" s="23">
        <v>18</v>
      </c>
      <c r="I9" s="23">
        <v>30</v>
      </c>
      <c r="J9" s="23">
        <v>48</v>
      </c>
    </row>
    <row r="10" spans="1:10" ht="15" customHeight="1" x14ac:dyDescent="0.25">
      <c r="A10" s="11">
        <v>8</v>
      </c>
      <c r="B10" s="12" t="s">
        <v>140</v>
      </c>
      <c r="C10" s="12" t="s">
        <v>308</v>
      </c>
      <c r="D10" s="12" t="s">
        <v>140</v>
      </c>
      <c r="E10" s="11">
        <v>2021</v>
      </c>
      <c r="F10" s="12" t="s">
        <v>309</v>
      </c>
      <c r="G10" s="12"/>
      <c r="H10" s="23">
        <v>20</v>
      </c>
      <c r="I10" s="23">
        <v>16</v>
      </c>
      <c r="J10" s="23">
        <v>36</v>
      </c>
    </row>
    <row r="11" spans="1:10" ht="23.25" customHeight="1" x14ac:dyDescent="0.25">
      <c r="A11" s="8">
        <v>9</v>
      </c>
      <c r="B11" s="9" t="s">
        <v>142</v>
      </c>
      <c r="C11" s="9" t="s">
        <v>310</v>
      </c>
      <c r="D11" s="9" t="s">
        <v>311</v>
      </c>
      <c r="E11" s="8">
        <v>2025</v>
      </c>
      <c r="F11" s="9" t="s">
        <v>312</v>
      </c>
      <c r="G11" s="9" t="s">
        <v>313</v>
      </c>
      <c r="H11" s="23">
        <v>8</v>
      </c>
      <c r="I11" s="23">
        <v>50</v>
      </c>
      <c r="J11" s="23">
        <v>58</v>
      </c>
    </row>
    <row r="12" spans="1:10" ht="23.25" customHeight="1" x14ac:dyDescent="0.25">
      <c r="A12" s="8">
        <v>10</v>
      </c>
      <c r="B12" s="9" t="s">
        <v>146</v>
      </c>
      <c r="C12" s="24" t="s">
        <v>314</v>
      </c>
      <c r="D12" s="9" t="s">
        <v>146</v>
      </c>
      <c r="E12" s="8">
        <v>2026</v>
      </c>
      <c r="F12" s="9" t="s">
        <v>315</v>
      </c>
      <c r="G12" s="9" t="s">
        <v>316</v>
      </c>
      <c r="H12" s="23">
        <v>12</v>
      </c>
      <c r="I12" s="23">
        <v>8</v>
      </c>
      <c r="J12" s="23">
        <v>20</v>
      </c>
    </row>
    <row r="13" spans="1:10" ht="15" customHeight="1" x14ac:dyDescent="0.25">
      <c r="A13" s="8">
        <v>11</v>
      </c>
      <c r="B13" s="9" t="s">
        <v>148</v>
      </c>
      <c r="C13" s="9" t="s">
        <v>317</v>
      </c>
      <c r="D13" s="9" t="s">
        <v>195</v>
      </c>
      <c r="E13" s="8">
        <v>2024</v>
      </c>
      <c r="F13" s="9" t="s">
        <v>318</v>
      </c>
      <c r="G13" s="9" t="s">
        <v>319</v>
      </c>
      <c r="H13" s="23">
        <v>12</v>
      </c>
      <c r="I13" s="23">
        <v>6</v>
      </c>
      <c r="J13" s="23">
        <v>18</v>
      </c>
    </row>
    <row r="14" spans="1:10" ht="15" customHeight="1" x14ac:dyDescent="0.25">
      <c r="A14" s="8">
        <v>12</v>
      </c>
      <c r="B14" s="9" t="s">
        <v>150</v>
      </c>
      <c r="C14" s="9" t="s">
        <v>320</v>
      </c>
      <c r="D14" s="9" t="s">
        <v>150</v>
      </c>
      <c r="E14" s="8">
        <v>2019</v>
      </c>
      <c r="F14" s="9" t="s">
        <v>321</v>
      </c>
      <c r="G14" s="9" t="s">
        <v>322</v>
      </c>
      <c r="H14" s="23">
        <v>22</v>
      </c>
      <c r="I14" s="23">
        <v>14</v>
      </c>
      <c r="J14" s="23">
        <v>36</v>
      </c>
    </row>
    <row r="15" spans="1:10" ht="15" customHeight="1" x14ac:dyDescent="0.25">
      <c r="A15" s="11">
        <v>13</v>
      </c>
      <c r="B15" s="12" t="s">
        <v>152</v>
      </c>
      <c r="C15" s="12" t="s">
        <v>323</v>
      </c>
      <c r="D15" s="12" t="s">
        <v>203</v>
      </c>
      <c r="E15" s="11">
        <v>2024</v>
      </c>
      <c r="F15" s="12" t="s">
        <v>324</v>
      </c>
      <c r="G15" s="12" t="s">
        <v>325</v>
      </c>
      <c r="H15" s="23">
        <v>12</v>
      </c>
      <c r="I15" s="23">
        <v>36</v>
      </c>
      <c r="J15" s="23">
        <v>48</v>
      </c>
    </row>
    <row r="16" spans="1:10" ht="15" customHeight="1" x14ac:dyDescent="0.25">
      <c r="A16" s="11">
        <v>14</v>
      </c>
      <c r="B16" s="12" t="s">
        <v>19</v>
      </c>
      <c r="C16" s="12" t="s">
        <v>326</v>
      </c>
      <c r="D16" s="12" t="s">
        <v>203</v>
      </c>
      <c r="E16" s="11">
        <v>2024</v>
      </c>
      <c r="F16" s="12" t="s">
        <v>327</v>
      </c>
      <c r="G16" s="12"/>
      <c r="H16" s="23">
        <v>24</v>
      </c>
      <c r="I16" s="23">
        <v>20</v>
      </c>
      <c r="J16" s="23">
        <v>44</v>
      </c>
    </row>
    <row r="17" spans="1:10" ht="15" customHeight="1" x14ac:dyDescent="0.25">
      <c r="A17" s="11">
        <v>15</v>
      </c>
      <c r="B17" s="12" t="s">
        <v>156</v>
      </c>
      <c r="C17" s="12" t="s">
        <v>328</v>
      </c>
      <c r="D17" s="12" t="s">
        <v>156</v>
      </c>
      <c r="E17" s="11">
        <v>2024</v>
      </c>
      <c r="F17" s="12" t="s">
        <v>329</v>
      </c>
      <c r="G17" s="12"/>
      <c r="H17" s="23">
        <v>16</v>
      </c>
      <c r="I17" s="23">
        <v>16</v>
      </c>
      <c r="J17" s="23">
        <v>32</v>
      </c>
    </row>
    <row r="18" spans="1:10" ht="15" customHeight="1" x14ac:dyDescent="0.25">
      <c r="A18" s="11">
        <v>16</v>
      </c>
      <c r="B18" s="12" t="s">
        <v>158</v>
      </c>
      <c r="C18" s="12" t="s">
        <v>330</v>
      </c>
      <c r="D18" s="12" t="s">
        <v>311</v>
      </c>
      <c r="E18" s="11">
        <v>2023</v>
      </c>
      <c r="F18" s="12" t="s">
        <v>331</v>
      </c>
      <c r="G18" s="12" t="s">
        <v>332</v>
      </c>
      <c r="H18" s="23">
        <v>16</v>
      </c>
      <c r="I18" s="23">
        <v>22</v>
      </c>
      <c r="J18" s="23">
        <v>38</v>
      </c>
    </row>
    <row r="19" spans="1:10" ht="15" customHeight="1" x14ac:dyDescent="0.25">
      <c r="A19" s="8">
        <v>17</v>
      </c>
      <c r="B19" s="9" t="s">
        <v>160</v>
      </c>
      <c r="C19" s="9" t="s">
        <v>333</v>
      </c>
      <c r="D19" s="9" t="s">
        <v>160</v>
      </c>
      <c r="E19" s="8">
        <v>2023</v>
      </c>
      <c r="F19" s="9" t="s">
        <v>334</v>
      </c>
      <c r="G19" s="9" t="s">
        <v>335</v>
      </c>
      <c r="H19" s="23">
        <v>22</v>
      </c>
      <c r="I19" s="23">
        <v>30</v>
      </c>
      <c r="J19" s="23">
        <v>52</v>
      </c>
    </row>
    <row r="20" spans="1:10" ht="23.25" customHeight="1" x14ac:dyDescent="0.25">
      <c r="A20" s="8">
        <v>18</v>
      </c>
      <c r="B20" s="9" t="s">
        <v>163</v>
      </c>
      <c r="C20" s="9" t="s">
        <v>336</v>
      </c>
      <c r="D20" s="9" t="s">
        <v>168</v>
      </c>
      <c r="E20" s="8">
        <v>2024</v>
      </c>
      <c r="F20" s="9" t="s">
        <v>337</v>
      </c>
      <c r="G20" s="9" t="s">
        <v>338</v>
      </c>
      <c r="H20" s="23">
        <v>30</v>
      </c>
      <c r="I20" s="23">
        <v>26</v>
      </c>
      <c r="J20" s="23">
        <v>56</v>
      </c>
    </row>
    <row r="21" spans="1:10" ht="15" customHeight="1" x14ac:dyDescent="0.25">
      <c r="A21" s="8">
        <v>19</v>
      </c>
      <c r="B21" s="9" t="s">
        <v>165</v>
      </c>
      <c r="C21" s="9" t="s">
        <v>339</v>
      </c>
      <c r="D21" s="9" t="s">
        <v>165</v>
      </c>
      <c r="E21" s="8">
        <v>2024</v>
      </c>
      <c r="F21" s="9" t="s">
        <v>340</v>
      </c>
      <c r="G21" s="9" t="s">
        <v>341</v>
      </c>
      <c r="H21" s="23">
        <v>26</v>
      </c>
      <c r="I21" s="23">
        <v>6</v>
      </c>
      <c r="J21" s="23">
        <v>32</v>
      </c>
    </row>
    <row r="22" spans="1:10" ht="15" customHeight="1" x14ac:dyDescent="0.25">
      <c r="A22" s="8">
        <v>20</v>
      </c>
      <c r="B22" s="9" t="s">
        <v>29</v>
      </c>
      <c r="C22" s="9" t="s">
        <v>342</v>
      </c>
      <c r="D22" s="9" t="s">
        <v>203</v>
      </c>
      <c r="E22" s="8">
        <v>2024</v>
      </c>
      <c r="F22" s="9" t="s">
        <v>343</v>
      </c>
      <c r="G22" s="9"/>
      <c r="H22" s="23">
        <v>16</v>
      </c>
      <c r="I22" s="23">
        <v>16</v>
      </c>
      <c r="J22" s="23">
        <v>32</v>
      </c>
    </row>
    <row r="23" spans="1:10" ht="23.25" customHeight="1" x14ac:dyDescent="0.25">
      <c r="A23" s="11">
        <v>21</v>
      </c>
      <c r="B23" s="12" t="s">
        <v>168</v>
      </c>
      <c r="C23" s="12" t="s">
        <v>344</v>
      </c>
      <c r="D23" s="12" t="s">
        <v>168</v>
      </c>
      <c r="E23" s="11">
        <v>2023</v>
      </c>
      <c r="F23" s="12" t="s">
        <v>345</v>
      </c>
      <c r="G23" s="12" t="s">
        <v>346</v>
      </c>
      <c r="H23" s="23">
        <v>26</v>
      </c>
      <c r="I23" s="23">
        <v>30</v>
      </c>
      <c r="J23" s="23">
        <v>56</v>
      </c>
    </row>
    <row r="24" spans="1:10" ht="15" customHeight="1" x14ac:dyDescent="0.25">
      <c r="A24" s="11">
        <v>22</v>
      </c>
      <c r="B24" s="12" t="s">
        <v>171</v>
      </c>
      <c r="C24" s="12" t="s">
        <v>347</v>
      </c>
      <c r="D24" s="12" t="s">
        <v>171</v>
      </c>
      <c r="E24" s="11">
        <v>2018</v>
      </c>
      <c r="F24" s="12" t="s">
        <v>348</v>
      </c>
      <c r="G24" s="12" t="s">
        <v>349</v>
      </c>
      <c r="H24" s="23">
        <v>24</v>
      </c>
      <c r="I24" s="23">
        <v>14</v>
      </c>
      <c r="J24" s="23">
        <v>38</v>
      </c>
    </row>
    <row r="25" spans="1:10" ht="15" customHeight="1" x14ac:dyDescent="0.25">
      <c r="A25" s="11">
        <v>23</v>
      </c>
      <c r="B25" s="12" t="s">
        <v>26</v>
      </c>
      <c r="C25" s="12" t="s">
        <v>350</v>
      </c>
      <c r="D25" s="12" t="s">
        <v>219</v>
      </c>
      <c r="E25" s="11">
        <v>2025</v>
      </c>
      <c r="F25" s="12" t="s">
        <v>324</v>
      </c>
      <c r="G25" s="12" t="s">
        <v>351</v>
      </c>
      <c r="H25" s="23">
        <v>8</v>
      </c>
      <c r="I25" s="23">
        <v>22</v>
      </c>
      <c r="J25" s="23">
        <v>30</v>
      </c>
    </row>
    <row r="26" spans="1:10" ht="15" customHeight="1" x14ac:dyDescent="0.25">
      <c r="A26" s="11">
        <v>24</v>
      </c>
      <c r="B26" s="12" t="s">
        <v>174</v>
      </c>
      <c r="C26" s="12" t="s">
        <v>352</v>
      </c>
      <c r="D26" s="12" t="s">
        <v>174</v>
      </c>
      <c r="E26" s="11">
        <v>2025</v>
      </c>
      <c r="F26" s="12" t="s">
        <v>353</v>
      </c>
      <c r="G26" s="12" t="s">
        <v>354</v>
      </c>
      <c r="H26" s="23">
        <v>14</v>
      </c>
      <c r="I26" s="23">
        <v>8</v>
      </c>
      <c r="J26" s="23">
        <v>22</v>
      </c>
    </row>
    <row r="27" spans="1:10" ht="15" customHeight="1" x14ac:dyDescent="0.25">
      <c r="A27" s="8">
        <v>25</v>
      </c>
      <c r="B27" s="9" t="s">
        <v>176</v>
      </c>
      <c r="C27" s="9" t="s">
        <v>355</v>
      </c>
      <c r="D27" s="9" t="s">
        <v>195</v>
      </c>
      <c r="E27" s="8">
        <v>2025</v>
      </c>
      <c r="F27" s="9" t="s">
        <v>356</v>
      </c>
      <c r="G27" s="9" t="s">
        <v>357</v>
      </c>
      <c r="H27" s="23">
        <v>8</v>
      </c>
      <c r="I27" s="23">
        <v>30</v>
      </c>
      <c r="J27" s="23">
        <v>38</v>
      </c>
    </row>
    <row r="28" spans="1:10" ht="15" customHeight="1" x14ac:dyDescent="0.25">
      <c r="A28" s="8">
        <v>26</v>
      </c>
      <c r="B28" s="9" t="s">
        <v>179</v>
      </c>
      <c r="C28" s="9" t="s">
        <v>358</v>
      </c>
      <c r="D28" s="9" t="s">
        <v>179</v>
      </c>
      <c r="E28" s="8">
        <v>2024</v>
      </c>
      <c r="F28" s="9" t="s">
        <v>359</v>
      </c>
      <c r="G28" s="9" t="s">
        <v>360</v>
      </c>
      <c r="H28" s="23">
        <v>16</v>
      </c>
      <c r="I28" s="23">
        <v>14</v>
      </c>
      <c r="J28" s="23">
        <v>30</v>
      </c>
    </row>
    <row r="29" spans="1:10" ht="15" customHeight="1" x14ac:dyDescent="0.25">
      <c r="A29" s="8">
        <v>27</v>
      </c>
      <c r="B29" s="9" t="s">
        <v>181</v>
      </c>
      <c r="C29" s="9" t="s">
        <v>361</v>
      </c>
      <c r="D29" s="9" t="s">
        <v>181</v>
      </c>
      <c r="E29" s="8">
        <v>2023</v>
      </c>
      <c r="F29" s="9" t="s">
        <v>362</v>
      </c>
      <c r="G29" s="9" t="s">
        <v>363</v>
      </c>
      <c r="H29" s="23">
        <v>18</v>
      </c>
      <c r="I29" s="23">
        <v>14</v>
      </c>
      <c r="J29" s="23">
        <v>32</v>
      </c>
    </row>
    <row r="30" spans="1:10" ht="15" customHeight="1" x14ac:dyDescent="0.25">
      <c r="A30" s="8">
        <v>28</v>
      </c>
      <c r="B30" s="9" t="s">
        <v>183</v>
      </c>
      <c r="C30" s="9" t="s">
        <v>364</v>
      </c>
      <c r="D30" s="9" t="s">
        <v>219</v>
      </c>
      <c r="E30" s="8">
        <v>2023</v>
      </c>
      <c r="F30" s="9" t="s">
        <v>365</v>
      </c>
      <c r="G30" s="9"/>
      <c r="H30" s="23">
        <v>10</v>
      </c>
      <c r="I30" s="23">
        <v>6</v>
      </c>
      <c r="J30" s="23">
        <v>16</v>
      </c>
    </row>
    <row r="31" spans="1:10" ht="23.25" customHeight="1" x14ac:dyDescent="0.25">
      <c r="A31" s="11">
        <v>29</v>
      </c>
      <c r="B31" s="12" t="s">
        <v>186</v>
      </c>
      <c r="C31" s="12" t="s">
        <v>366</v>
      </c>
      <c r="D31" s="12" t="s">
        <v>186</v>
      </c>
      <c r="E31" s="11">
        <v>2022</v>
      </c>
      <c r="F31" s="12" t="s">
        <v>367</v>
      </c>
      <c r="G31" s="12" t="s">
        <v>368</v>
      </c>
      <c r="H31" s="23">
        <v>34</v>
      </c>
      <c r="I31" s="23">
        <v>6</v>
      </c>
      <c r="J31" s="23">
        <v>40</v>
      </c>
    </row>
    <row r="32" spans="1:10" ht="15" customHeight="1" x14ac:dyDescent="0.25">
      <c r="A32" s="11">
        <v>30</v>
      </c>
      <c r="B32" s="12" t="s">
        <v>189</v>
      </c>
      <c r="C32" s="12" t="s">
        <v>369</v>
      </c>
      <c r="D32" s="12" t="s">
        <v>189</v>
      </c>
      <c r="E32" s="11">
        <v>2020</v>
      </c>
      <c r="F32" s="12" t="s">
        <v>370</v>
      </c>
      <c r="G32" s="12" t="s">
        <v>371</v>
      </c>
      <c r="H32" s="23">
        <v>14</v>
      </c>
      <c r="I32" s="23">
        <v>6</v>
      </c>
      <c r="J32" s="23">
        <v>20</v>
      </c>
    </row>
    <row r="33" spans="1:10" ht="15" customHeight="1" x14ac:dyDescent="0.25">
      <c r="A33" s="11">
        <v>31</v>
      </c>
      <c r="B33" s="12" t="s">
        <v>191</v>
      </c>
      <c r="C33" s="12" t="s">
        <v>372</v>
      </c>
      <c r="D33" s="12" t="s">
        <v>373</v>
      </c>
      <c r="E33" s="11">
        <v>2025</v>
      </c>
      <c r="F33" s="12" t="s">
        <v>374</v>
      </c>
      <c r="G33" s="12" t="s">
        <v>375</v>
      </c>
      <c r="H33" s="23">
        <v>8</v>
      </c>
      <c r="I33" s="23">
        <v>14</v>
      </c>
      <c r="J33" s="23">
        <v>22</v>
      </c>
    </row>
    <row r="34" spans="1:10" ht="15" customHeight="1" x14ac:dyDescent="0.25">
      <c r="A34" s="11">
        <v>32</v>
      </c>
      <c r="B34" s="12" t="s">
        <v>193</v>
      </c>
      <c r="C34" s="12" t="s">
        <v>376</v>
      </c>
      <c r="D34" s="12" t="s">
        <v>203</v>
      </c>
      <c r="E34" s="11">
        <v>2023</v>
      </c>
      <c r="F34" s="12" t="s">
        <v>300</v>
      </c>
      <c r="G34" s="12" t="s">
        <v>377</v>
      </c>
      <c r="H34" s="23">
        <v>30</v>
      </c>
      <c r="I34" s="23">
        <v>26</v>
      </c>
      <c r="J34" s="23">
        <v>56</v>
      </c>
    </row>
    <row r="35" spans="1:10" ht="23.25" customHeight="1" x14ac:dyDescent="0.25">
      <c r="A35" s="8">
        <v>33</v>
      </c>
      <c r="B35" s="9" t="s">
        <v>195</v>
      </c>
      <c r="C35" s="9" t="s">
        <v>378</v>
      </c>
      <c r="D35" s="9" t="s">
        <v>195</v>
      </c>
      <c r="E35" s="8">
        <v>2012</v>
      </c>
      <c r="F35" s="9" t="s">
        <v>379</v>
      </c>
      <c r="G35" s="9" t="s">
        <v>380</v>
      </c>
      <c r="H35" s="23">
        <v>50</v>
      </c>
      <c r="I35" s="23">
        <v>28</v>
      </c>
      <c r="J35" s="23">
        <v>78</v>
      </c>
    </row>
    <row r="36" spans="1:10" ht="15" customHeight="1" x14ac:dyDescent="0.25">
      <c r="A36" s="8">
        <v>34</v>
      </c>
      <c r="B36" s="9" t="s">
        <v>35</v>
      </c>
      <c r="C36" s="9" t="s">
        <v>381</v>
      </c>
      <c r="D36" s="9" t="s">
        <v>35</v>
      </c>
      <c r="E36" s="8">
        <v>2024</v>
      </c>
      <c r="F36" s="9" t="s">
        <v>382</v>
      </c>
      <c r="G36" s="9"/>
      <c r="H36" s="23">
        <v>12</v>
      </c>
      <c r="I36" s="23">
        <v>8</v>
      </c>
      <c r="J36" s="23">
        <v>20</v>
      </c>
    </row>
    <row r="37" spans="1:10" ht="15" customHeight="1" x14ac:dyDescent="0.25">
      <c r="A37" s="8">
        <v>35</v>
      </c>
      <c r="B37" s="9" t="s">
        <v>199</v>
      </c>
      <c r="C37" s="9" t="s">
        <v>383</v>
      </c>
      <c r="D37" s="9" t="s">
        <v>156</v>
      </c>
      <c r="E37" s="8">
        <v>2025</v>
      </c>
      <c r="F37" s="9" t="s">
        <v>384</v>
      </c>
      <c r="G37" s="9" t="s">
        <v>385</v>
      </c>
      <c r="H37" s="23">
        <v>20</v>
      </c>
      <c r="I37" s="23">
        <v>14</v>
      </c>
      <c r="J37" s="23">
        <v>34</v>
      </c>
    </row>
    <row r="38" spans="1:10" ht="15" customHeight="1" x14ac:dyDescent="0.25">
      <c r="A38" s="8">
        <v>36</v>
      </c>
      <c r="B38" s="9" t="s">
        <v>201</v>
      </c>
      <c r="C38" s="9" t="s">
        <v>386</v>
      </c>
      <c r="D38" s="9" t="s">
        <v>201</v>
      </c>
      <c r="E38" s="8">
        <v>2020</v>
      </c>
      <c r="F38" s="9" t="s">
        <v>387</v>
      </c>
      <c r="G38" s="9"/>
      <c r="H38" s="23">
        <v>18</v>
      </c>
      <c r="I38" s="23">
        <v>20</v>
      </c>
      <c r="J38" s="23">
        <v>38</v>
      </c>
    </row>
    <row r="39" spans="1:10" ht="23.25" customHeight="1" x14ac:dyDescent="0.25">
      <c r="A39" s="11">
        <v>37</v>
      </c>
      <c r="B39" s="12" t="s">
        <v>203</v>
      </c>
      <c r="C39" s="12" t="s">
        <v>388</v>
      </c>
      <c r="D39" s="12" t="s">
        <v>203</v>
      </c>
      <c r="E39" s="11">
        <v>2018</v>
      </c>
      <c r="F39" s="12" t="s">
        <v>389</v>
      </c>
      <c r="G39" s="12" t="s">
        <v>390</v>
      </c>
      <c r="H39" s="23">
        <v>48</v>
      </c>
      <c r="I39" s="23">
        <v>4</v>
      </c>
      <c r="J39" s="23">
        <v>52</v>
      </c>
    </row>
    <row r="40" spans="1:10" ht="23.25" customHeight="1" x14ac:dyDescent="0.25">
      <c r="A40" s="11">
        <v>38</v>
      </c>
      <c r="B40" s="12" t="s">
        <v>45</v>
      </c>
      <c r="C40" s="12" t="s">
        <v>391</v>
      </c>
      <c r="D40" s="12" t="s">
        <v>38</v>
      </c>
      <c r="E40" s="11">
        <v>2024</v>
      </c>
      <c r="F40" s="12" t="s">
        <v>392</v>
      </c>
      <c r="G40" s="12" t="s">
        <v>393</v>
      </c>
      <c r="H40" s="23">
        <v>26</v>
      </c>
      <c r="I40" s="23">
        <v>18</v>
      </c>
      <c r="J40" s="23">
        <v>44</v>
      </c>
    </row>
    <row r="41" spans="1:10" ht="15" customHeight="1" x14ac:dyDescent="0.25">
      <c r="A41" s="11">
        <v>39</v>
      </c>
      <c r="B41" s="12" t="s">
        <v>207</v>
      </c>
      <c r="C41" s="12" t="s">
        <v>394</v>
      </c>
      <c r="D41" s="12" t="s">
        <v>160</v>
      </c>
      <c r="E41" s="11">
        <v>2022</v>
      </c>
      <c r="F41" s="12" t="s">
        <v>395</v>
      </c>
      <c r="G41" s="12" t="s">
        <v>396</v>
      </c>
      <c r="H41" s="23">
        <v>22</v>
      </c>
      <c r="I41" s="23">
        <v>32</v>
      </c>
      <c r="J41" s="23">
        <v>54</v>
      </c>
    </row>
    <row r="42" spans="1:10" ht="15" customHeight="1" x14ac:dyDescent="0.25">
      <c r="A42" s="11">
        <v>40</v>
      </c>
      <c r="B42" s="12" t="s">
        <v>209</v>
      </c>
      <c r="C42" s="12" t="s">
        <v>397</v>
      </c>
      <c r="D42" s="12" t="s">
        <v>146</v>
      </c>
      <c r="E42" s="11">
        <v>2024</v>
      </c>
      <c r="F42" s="12" t="s">
        <v>398</v>
      </c>
      <c r="G42" s="12" t="s">
        <v>399</v>
      </c>
      <c r="H42" s="23">
        <v>16</v>
      </c>
      <c r="I42" s="23">
        <v>8</v>
      </c>
      <c r="J42" s="23">
        <v>24</v>
      </c>
    </row>
    <row r="43" spans="1:10" ht="15" customHeight="1" x14ac:dyDescent="0.25">
      <c r="A43" s="8">
        <v>41</v>
      </c>
      <c r="B43" s="9" t="s">
        <v>211</v>
      </c>
      <c r="C43" s="9" t="s">
        <v>400</v>
      </c>
      <c r="D43" s="9" t="s">
        <v>186</v>
      </c>
      <c r="E43" s="8">
        <v>2023</v>
      </c>
      <c r="F43" s="9" t="s">
        <v>401</v>
      </c>
      <c r="G43" s="9" t="s">
        <v>402</v>
      </c>
      <c r="H43" s="23">
        <v>28</v>
      </c>
      <c r="I43" s="23">
        <v>22</v>
      </c>
      <c r="J43" s="23">
        <v>50</v>
      </c>
    </row>
    <row r="44" spans="1:10" ht="15" customHeight="1" x14ac:dyDescent="0.25">
      <c r="A44" s="8">
        <v>42</v>
      </c>
      <c r="B44" s="9" t="s">
        <v>32</v>
      </c>
      <c r="C44" s="9" t="s">
        <v>403</v>
      </c>
      <c r="D44" s="9" t="s">
        <v>195</v>
      </c>
      <c r="E44" s="8">
        <v>2022</v>
      </c>
      <c r="F44" s="9" t="s">
        <v>404</v>
      </c>
      <c r="G44" s="9"/>
      <c r="H44" s="23">
        <v>18</v>
      </c>
      <c r="I44" s="23">
        <v>10</v>
      </c>
      <c r="J44" s="23">
        <v>28</v>
      </c>
    </row>
    <row r="45" spans="1:10" ht="23.25" customHeight="1" x14ac:dyDescent="0.25">
      <c r="A45" s="8">
        <v>43</v>
      </c>
      <c r="B45" s="9" t="s">
        <v>215</v>
      </c>
      <c r="C45" s="9" t="s">
        <v>405</v>
      </c>
      <c r="D45" s="9" t="s">
        <v>311</v>
      </c>
      <c r="E45" s="8">
        <v>2025</v>
      </c>
      <c r="F45" s="9" t="s">
        <v>406</v>
      </c>
      <c r="G45" s="9" t="s">
        <v>407</v>
      </c>
      <c r="H45" s="23">
        <v>8</v>
      </c>
      <c r="I45" s="23">
        <v>18</v>
      </c>
      <c r="J45" s="23">
        <v>26</v>
      </c>
    </row>
    <row r="46" spans="1:10" ht="15" customHeight="1" x14ac:dyDescent="0.25">
      <c r="A46" s="8">
        <v>44</v>
      </c>
      <c r="B46" s="9" t="s">
        <v>217</v>
      </c>
      <c r="C46" s="9" t="s">
        <v>408</v>
      </c>
      <c r="D46" s="9" t="s">
        <v>203</v>
      </c>
      <c r="E46" s="8">
        <v>2022</v>
      </c>
      <c r="F46" s="9" t="s">
        <v>409</v>
      </c>
      <c r="G46" s="9" t="s">
        <v>410</v>
      </c>
      <c r="H46" s="23">
        <v>22</v>
      </c>
      <c r="I46" s="23">
        <v>12</v>
      </c>
      <c r="J46" s="23">
        <v>34</v>
      </c>
    </row>
    <row r="47" spans="1:10" ht="15" customHeight="1" x14ac:dyDescent="0.25">
      <c r="A47" s="11">
        <v>45</v>
      </c>
      <c r="B47" s="12" t="s">
        <v>219</v>
      </c>
      <c r="C47" s="12" t="s">
        <v>411</v>
      </c>
      <c r="D47" s="12" t="s">
        <v>160</v>
      </c>
      <c r="E47" s="11">
        <v>2025</v>
      </c>
      <c r="F47" s="12" t="s">
        <v>334</v>
      </c>
      <c r="G47" s="12" t="s">
        <v>412</v>
      </c>
      <c r="H47" s="23">
        <v>12</v>
      </c>
      <c r="I47" s="23">
        <v>40</v>
      </c>
      <c r="J47" s="23">
        <v>52</v>
      </c>
    </row>
    <row r="48" spans="1:10" ht="15" customHeight="1" x14ac:dyDescent="0.25">
      <c r="A48" s="11">
        <v>46</v>
      </c>
      <c r="B48" s="12" t="s">
        <v>222</v>
      </c>
      <c r="C48" s="12" t="s">
        <v>413</v>
      </c>
      <c r="D48" s="12" t="s">
        <v>222</v>
      </c>
      <c r="E48" s="11">
        <v>2017</v>
      </c>
      <c r="F48" s="12" t="s">
        <v>414</v>
      </c>
      <c r="G48" s="12" t="s">
        <v>415</v>
      </c>
      <c r="H48" s="23">
        <v>36</v>
      </c>
      <c r="I48" s="23">
        <v>14</v>
      </c>
      <c r="J48" s="23">
        <v>50</v>
      </c>
    </row>
    <row r="49" spans="1:10" ht="23.25" customHeight="1" x14ac:dyDescent="0.25">
      <c r="A49" s="11">
        <v>47</v>
      </c>
      <c r="B49" s="12" t="s">
        <v>52</v>
      </c>
      <c r="C49" s="24" t="s">
        <v>416</v>
      </c>
      <c r="D49" s="12" t="s">
        <v>211</v>
      </c>
      <c r="E49" s="11">
        <v>2026</v>
      </c>
      <c r="F49" s="12" t="s">
        <v>417</v>
      </c>
      <c r="G49" s="12" t="s">
        <v>418</v>
      </c>
      <c r="H49" s="23">
        <v>28</v>
      </c>
      <c r="I49" s="23">
        <v>18</v>
      </c>
      <c r="J49" s="23">
        <v>46</v>
      </c>
    </row>
    <row r="50" spans="1:10" ht="15" customHeight="1" x14ac:dyDescent="0.25">
      <c r="A50" s="11">
        <v>48</v>
      </c>
      <c r="B50" s="12" t="s">
        <v>225</v>
      </c>
      <c r="C50" s="12" t="s">
        <v>419</v>
      </c>
      <c r="D50" s="12" t="s">
        <v>186</v>
      </c>
      <c r="E50" s="11">
        <v>2020</v>
      </c>
      <c r="F50" s="12" t="s">
        <v>420</v>
      </c>
      <c r="G50" s="12" t="s">
        <v>421</v>
      </c>
      <c r="H50" s="23">
        <v>18</v>
      </c>
      <c r="I50" s="23">
        <v>14</v>
      </c>
      <c r="J50" s="23">
        <v>32</v>
      </c>
    </row>
    <row r="51" spans="1:10" ht="15.75" customHeight="1" x14ac:dyDescent="0.25"/>
    <row r="52" spans="1:10" ht="15" customHeight="1" x14ac:dyDescent="0.25">
      <c r="B52" s="36" t="s">
        <v>422</v>
      </c>
      <c r="C52" s="33"/>
      <c r="D52" s="33"/>
      <c r="E52" s="33"/>
      <c r="F52" s="33"/>
      <c r="G52" s="33"/>
    </row>
    <row r="53" spans="1:10" ht="15" customHeight="1" x14ac:dyDescent="0.25">
      <c r="B53" s="33"/>
      <c r="C53" s="33"/>
      <c r="D53" s="33"/>
      <c r="E53" s="33"/>
      <c r="F53" s="33"/>
      <c r="G53" s="33"/>
    </row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2:G53"/>
    <mergeCell ref="A1:G1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5" customWidth="1"/>
    <col min="2" max="2" width="24" customWidth="1"/>
    <col min="3" max="3" width="14" customWidth="1"/>
    <col min="4" max="9" width="7" customWidth="1"/>
    <col min="10" max="10" width="8" customWidth="1"/>
    <col min="11" max="11" width="7" customWidth="1"/>
    <col min="12" max="12" width="9" customWidth="1"/>
    <col min="13" max="14" width="8" customWidth="1"/>
    <col min="15" max="26" width="8.7109375" customWidth="1"/>
  </cols>
  <sheetData>
    <row r="1" spans="1:16" ht="24" customHeight="1" x14ac:dyDescent="0.25">
      <c r="A1" s="34" t="s">
        <v>423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6" ht="15" customHeight="1" x14ac:dyDescent="0.25">
      <c r="A2" s="25" t="s">
        <v>109</v>
      </c>
      <c r="B2" s="25" t="s">
        <v>110</v>
      </c>
      <c r="C2" s="25" t="s">
        <v>114</v>
      </c>
      <c r="D2" s="25" t="s">
        <v>236</v>
      </c>
      <c r="E2" s="25" t="s">
        <v>237</v>
      </c>
      <c r="F2" s="25" t="s">
        <v>238</v>
      </c>
      <c r="G2" s="25" t="s">
        <v>239</v>
      </c>
      <c r="H2" s="25" t="s">
        <v>240</v>
      </c>
      <c r="I2" s="25" t="s">
        <v>241</v>
      </c>
      <c r="J2" s="25" t="s">
        <v>424</v>
      </c>
      <c r="K2" s="25" t="s">
        <v>242</v>
      </c>
      <c r="L2" s="25" t="s">
        <v>425</v>
      </c>
      <c r="M2" s="25" t="s">
        <v>426</v>
      </c>
      <c r="N2" s="25" t="s">
        <v>427</v>
      </c>
      <c r="O2" s="23" t="s">
        <v>428</v>
      </c>
      <c r="P2" s="23" t="s">
        <v>429</v>
      </c>
    </row>
    <row r="3" spans="1:16" ht="15" customHeight="1" x14ac:dyDescent="0.25">
      <c r="A3" s="8">
        <v>1</v>
      </c>
      <c r="B3" s="9" t="s">
        <v>119</v>
      </c>
      <c r="C3" s="8" t="s">
        <v>122</v>
      </c>
      <c r="D3" s="26"/>
      <c r="E3" s="26"/>
      <c r="F3" s="26"/>
      <c r="G3" s="26"/>
      <c r="H3" s="26"/>
      <c r="I3" s="26"/>
      <c r="J3" s="8" t="str">
        <f t="shared" ref="J3:J50" si="0">IF(COUNT(D3:G3)=0,"",3*E3+F3)</f>
        <v/>
      </c>
      <c r="K3" s="8" t="str">
        <f t="shared" ref="K3:K50" si="1">IF(COUNT(H3:I3)=0,"",H3-I3)</f>
        <v/>
      </c>
      <c r="L3" s="19" t="str">
        <f t="shared" ref="L3:L50" si="2">IF(N(D3)=0,"",(3*E3+F3)/(D3*3))</f>
        <v/>
      </c>
      <c r="M3" s="10" t="str">
        <f t="shared" ref="M3:M50" si="3">IF(N(D3)=0,"",H3/D3)</f>
        <v/>
      </c>
      <c r="N3" s="10" t="str">
        <f t="shared" ref="N3:N50" si="4">IF(N(D3)=0,"",I3/D3)</f>
        <v/>
      </c>
      <c r="O3" s="23">
        <v>0.5</v>
      </c>
      <c r="P3" s="23">
        <v>35</v>
      </c>
    </row>
    <row r="4" spans="1:16" ht="15" customHeight="1" x14ac:dyDescent="0.25">
      <c r="A4" s="8">
        <v>2</v>
      </c>
      <c r="B4" s="9" t="s">
        <v>125</v>
      </c>
      <c r="C4" s="8" t="s">
        <v>127</v>
      </c>
      <c r="D4" s="26">
        <v>10</v>
      </c>
      <c r="E4" s="26">
        <v>6</v>
      </c>
      <c r="F4" s="26">
        <v>2</v>
      </c>
      <c r="G4" s="26">
        <v>2</v>
      </c>
      <c r="H4" s="26">
        <v>14</v>
      </c>
      <c r="I4" s="26">
        <v>8</v>
      </c>
      <c r="J4" s="8">
        <f t="shared" si="0"/>
        <v>20</v>
      </c>
      <c r="K4" s="8">
        <f t="shared" si="1"/>
        <v>6</v>
      </c>
      <c r="L4" s="19">
        <f t="shared" si="2"/>
        <v>0.66666666666666663</v>
      </c>
      <c r="M4" s="10">
        <f t="shared" si="3"/>
        <v>1.4</v>
      </c>
      <c r="N4" s="10">
        <f t="shared" si="4"/>
        <v>0.8</v>
      </c>
      <c r="O4" s="23">
        <v>0.52</v>
      </c>
      <c r="P4" s="23">
        <v>34.700000000000003</v>
      </c>
    </row>
    <row r="5" spans="1:16" ht="15" customHeight="1" x14ac:dyDescent="0.25">
      <c r="A5" s="8">
        <v>3</v>
      </c>
      <c r="B5" s="9" t="s">
        <v>128</v>
      </c>
      <c r="C5" s="8" t="s">
        <v>130</v>
      </c>
      <c r="D5" s="26">
        <v>10</v>
      </c>
      <c r="E5" s="26">
        <v>7</v>
      </c>
      <c r="F5" s="26">
        <v>3</v>
      </c>
      <c r="G5" s="26">
        <v>0</v>
      </c>
      <c r="H5" s="26">
        <v>20</v>
      </c>
      <c r="I5" s="26">
        <v>6</v>
      </c>
      <c r="J5" s="8">
        <f t="shared" si="0"/>
        <v>24</v>
      </c>
      <c r="K5" s="8">
        <f t="shared" si="1"/>
        <v>14</v>
      </c>
      <c r="L5" s="19">
        <f t="shared" si="2"/>
        <v>0.8</v>
      </c>
      <c r="M5" s="10">
        <f t="shared" si="3"/>
        <v>2</v>
      </c>
      <c r="N5" s="10">
        <f t="shared" si="4"/>
        <v>0.6</v>
      </c>
      <c r="O5" s="23">
        <v>0.48</v>
      </c>
      <c r="P5" s="23">
        <v>38.4</v>
      </c>
    </row>
    <row r="6" spans="1:16" ht="15" customHeight="1" x14ac:dyDescent="0.25">
      <c r="A6" s="8">
        <v>4</v>
      </c>
      <c r="B6" s="9" t="s">
        <v>131</v>
      </c>
      <c r="C6" s="8" t="s">
        <v>133</v>
      </c>
      <c r="D6" s="26">
        <v>8</v>
      </c>
      <c r="E6" s="26">
        <v>5</v>
      </c>
      <c r="F6" s="26">
        <v>1</v>
      </c>
      <c r="G6" s="26">
        <v>2</v>
      </c>
      <c r="H6" s="26">
        <v>14</v>
      </c>
      <c r="I6" s="26">
        <v>9</v>
      </c>
      <c r="J6" s="8">
        <f t="shared" si="0"/>
        <v>16</v>
      </c>
      <c r="K6" s="8">
        <f t="shared" si="1"/>
        <v>5</v>
      </c>
      <c r="L6" s="19">
        <f t="shared" si="2"/>
        <v>0.66666666666666663</v>
      </c>
      <c r="M6" s="10">
        <f t="shared" si="3"/>
        <v>1.75</v>
      </c>
      <c r="N6" s="10">
        <f t="shared" si="4"/>
        <v>1.125</v>
      </c>
      <c r="O6" s="23">
        <v>1</v>
      </c>
      <c r="P6" s="23">
        <v>66.7</v>
      </c>
    </row>
    <row r="7" spans="1:16" ht="15" customHeight="1" x14ac:dyDescent="0.25">
      <c r="A7" s="8">
        <v>5</v>
      </c>
      <c r="B7" s="9" t="s">
        <v>134</v>
      </c>
      <c r="C7" s="8" t="s">
        <v>122</v>
      </c>
      <c r="D7" s="26"/>
      <c r="E7" s="26"/>
      <c r="F7" s="26"/>
      <c r="G7" s="26"/>
      <c r="H7" s="26"/>
      <c r="I7" s="26"/>
      <c r="J7" s="8" t="str">
        <f t="shared" si="0"/>
        <v/>
      </c>
      <c r="K7" s="8" t="str">
        <f t="shared" si="1"/>
        <v/>
      </c>
      <c r="L7" s="19" t="str">
        <f t="shared" si="2"/>
        <v/>
      </c>
      <c r="M7" s="10" t="str">
        <f t="shared" si="3"/>
        <v/>
      </c>
      <c r="N7" s="10" t="str">
        <f t="shared" si="4"/>
        <v/>
      </c>
      <c r="O7" s="23">
        <v>0.5</v>
      </c>
      <c r="P7" s="23">
        <v>35</v>
      </c>
    </row>
    <row r="8" spans="1:16" ht="15" customHeight="1" x14ac:dyDescent="0.25">
      <c r="A8" s="8">
        <v>6</v>
      </c>
      <c r="B8" s="9" t="s">
        <v>38</v>
      </c>
      <c r="C8" s="8" t="s">
        <v>133</v>
      </c>
      <c r="D8" s="26">
        <v>8</v>
      </c>
      <c r="E8" s="26">
        <v>5</v>
      </c>
      <c r="F8" s="26">
        <v>2</v>
      </c>
      <c r="G8" s="26">
        <v>1</v>
      </c>
      <c r="H8" s="26">
        <v>14</v>
      </c>
      <c r="I8" s="26">
        <v>8</v>
      </c>
      <c r="J8" s="8">
        <f t="shared" si="0"/>
        <v>17</v>
      </c>
      <c r="K8" s="8">
        <f t="shared" si="1"/>
        <v>6</v>
      </c>
      <c r="L8" s="19">
        <f t="shared" si="2"/>
        <v>0.70833333333333337</v>
      </c>
      <c r="M8" s="10">
        <f t="shared" si="3"/>
        <v>1.75</v>
      </c>
      <c r="N8" s="10">
        <f t="shared" si="4"/>
        <v>1</v>
      </c>
      <c r="O8" s="23">
        <v>1</v>
      </c>
      <c r="P8" s="23">
        <v>70.8</v>
      </c>
    </row>
    <row r="9" spans="1:16" ht="15" customHeight="1" x14ac:dyDescent="0.25">
      <c r="A9" s="8">
        <v>7</v>
      </c>
      <c r="B9" s="9" t="s">
        <v>138</v>
      </c>
      <c r="C9" s="8" t="s">
        <v>130</v>
      </c>
      <c r="D9" s="26">
        <v>10</v>
      </c>
      <c r="E9" s="26">
        <v>6</v>
      </c>
      <c r="F9" s="26">
        <v>2</v>
      </c>
      <c r="G9" s="26">
        <v>2</v>
      </c>
      <c r="H9" s="26">
        <v>16</v>
      </c>
      <c r="I9" s="26">
        <v>9</v>
      </c>
      <c r="J9" s="8">
        <f t="shared" si="0"/>
        <v>20</v>
      </c>
      <c r="K9" s="8">
        <f t="shared" si="1"/>
        <v>7</v>
      </c>
      <c r="L9" s="19">
        <f t="shared" si="2"/>
        <v>0.66666666666666663</v>
      </c>
      <c r="M9" s="10">
        <f t="shared" si="3"/>
        <v>1.6</v>
      </c>
      <c r="N9" s="10">
        <f t="shared" si="4"/>
        <v>0.9</v>
      </c>
      <c r="O9" s="23">
        <v>0.48</v>
      </c>
      <c r="P9" s="23">
        <v>32</v>
      </c>
    </row>
    <row r="10" spans="1:16" ht="15" customHeight="1" x14ac:dyDescent="0.25">
      <c r="A10" s="8">
        <v>8</v>
      </c>
      <c r="B10" s="9" t="s">
        <v>140</v>
      </c>
      <c r="C10" s="8" t="s">
        <v>133</v>
      </c>
      <c r="D10" s="26">
        <v>8</v>
      </c>
      <c r="E10" s="26">
        <v>5</v>
      </c>
      <c r="F10" s="26">
        <v>3</v>
      </c>
      <c r="G10" s="26">
        <v>0</v>
      </c>
      <c r="H10" s="26">
        <v>15</v>
      </c>
      <c r="I10" s="26">
        <v>6</v>
      </c>
      <c r="J10" s="8">
        <f t="shared" si="0"/>
        <v>18</v>
      </c>
      <c r="K10" s="8">
        <f t="shared" si="1"/>
        <v>9</v>
      </c>
      <c r="L10" s="19">
        <f t="shared" si="2"/>
        <v>0.75</v>
      </c>
      <c r="M10" s="10">
        <f t="shared" si="3"/>
        <v>1.875</v>
      </c>
      <c r="N10" s="10">
        <f t="shared" si="4"/>
        <v>0.75</v>
      </c>
      <c r="O10" s="23">
        <v>1</v>
      </c>
      <c r="P10" s="23">
        <v>75</v>
      </c>
    </row>
    <row r="11" spans="1:16" ht="15" customHeight="1" x14ac:dyDescent="0.25">
      <c r="A11" s="8">
        <v>9</v>
      </c>
      <c r="B11" s="9" t="s">
        <v>142</v>
      </c>
      <c r="C11" s="8" t="s">
        <v>145</v>
      </c>
      <c r="D11" s="26">
        <v>18</v>
      </c>
      <c r="E11" s="26">
        <v>8</v>
      </c>
      <c r="F11" s="26">
        <v>4</v>
      </c>
      <c r="G11" s="26">
        <v>6</v>
      </c>
      <c r="H11" s="26">
        <v>24</v>
      </c>
      <c r="I11" s="26">
        <v>18</v>
      </c>
      <c r="J11" s="8">
        <f t="shared" si="0"/>
        <v>28</v>
      </c>
      <c r="K11" s="8">
        <f t="shared" si="1"/>
        <v>6</v>
      </c>
      <c r="L11" s="19">
        <f t="shared" si="2"/>
        <v>0.51851851851851849</v>
      </c>
      <c r="M11" s="10">
        <f t="shared" si="3"/>
        <v>1.3333333333333333</v>
      </c>
      <c r="N11" s="10">
        <f t="shared" si="4"/>
        <v>1</v>
      </c>
      <c r="O11" s="23">
        <v>0.95</v>
      </c>
      <c r="P11" s="23">
        <v>49.3</v>
      </c>
    </row>
    <row r="12" spans="1:16" ht="15" customHeight="1" x14ac:dyDescent="0.25">
      <c r="A12" s="8">
        <v>10</v>
      </c>
      <c r="B12" s="9" t="s">
        <v>146</v>
      </c>
      <c r="C12" s="8" t="s">
        <v>127</v>
      </c>
      <c r="D12" s="26">
        <v>10</v>
      </c>
      <c r="E12" s="26">
        <v>8</v>
      </c>
      <c r="F12" s="26">
        <v>1</v>
      </c>
      <c r="G12" s="26">
        <v>1</v>
      </c>
      <c r="H12" s="26">
        <v>20</v>
      </c>
      <c r="I12" s="26">
        <v>5</v>
      </c>
      <c r="J12" s="8">
        <f t="shared" si="0"/>
        <v>25</v>
      </c>
      <c r="K12" s="8">
        <f t="shared" si="1"/>
        <v>15</v>
      </c>
      <c r="L12" s="19">
        <f t="shared" si="2"/>
        <v>0.83333333333333337</v>
      </c>
      <c r="M12" s="10">
        <f t="shared" si="3"/>
        <v>2</v>
      </c>
      <c r="N12" s="10">
        <f t="shared" si="4"/>
        <v>0.5</v>
      </c>
      <c r="O12" s="23">
        <v>0.52</v>
      </c>
      <c r="P12" s="23">
        <v>43.3</v>
      </c>
    </row>
    <row r="13" spans="1:16" ht="15" customHeight="1" x14ac:dyDescent="0.25">
      <c r="A13" s="8">
        <v>11</v>
      </c>
      <c r="B13" s="9" t="s">
        <v>148</v>
      </c>
      <c r="C13" s="8" t="s">
        <v>122</v>
      </c>
      <c r="D13" s="26">
        <v>10</v>
      </c>
      <c r="E13" s="26">
        <v>5</v>
      </c>
      <c r="F13" s="26">
        <v>2</v>
      </c>
      <c r="G13" s="26">
        <v>3</v>
      </c>
      <c r="H13" s="26">
        <v>12</v>
      </c>
      <c r="I13" s="26">
        <v>10</v>
      </c>
      <c r="J13" s="8">
        <f t="shared" si="0"/>
        <v>17</v>
      </c>
      <c r="K13" s="8">
        <f t="shared" si="1"/>
        <v>2</v>
      </c>
      <c r="L13" s="19">
        <f t="shared" si="2"/>
        <v>0.56666666666666665</v>
      </c>
      <c r="M13" s="10">
        <f t="shared" si="3"/>
        <v>1.2</v>
      </c>
      <c r="N13" s="10">
        <f t="shared" si="4"/>
        <v>1</v>
      </c>
      <c r="O13" s="23">
        <v>0.5</v>
      </c>
      <c r="P13" s="23">
        <v>28.3</v>
      </c>
    </row>
    <row r="14" spans="1:16" ht="15" customHeight="1" x14ac:dyDescent="0.25">
      <c r="A14" s="8">
        <v>12</v>
      </c>
      <c r="B14" s="9" t="s">
        <v>150</v>
      </c>
      <c r="C14" s="8" t="s">
        <v>133</v>
      </c>
      <c r="D14" s="26">
        <v>8</v>
      </c>
      <c r="E14" s="26">
        <v>5</v>
      </c>
      <c r="F14" s="26">
        <v>2</v>
      </c>
      <c r="G14" s="26">
        <v>1</v>
      </c>
      <c r="H14" s="26">
        <v>12</v>
      </c>
      <c r="I14" s="26">
        <v>8</v>
      </c>
      <c r="J14" s="8">
        <f t="shared" si="0"/>
        <v>17</v>
      </c>
      <c r="K14" s="8">
        <f t="shared" si="1"/>
        <v>4</v>
      </c>
      <c r="L14" s="19">
        <f t="shared" si="2"/>
        <v>0.70833333333333337</v>
      </c>
      <c r="M14" s="10">
        <f t="shared" si="3"/>
        <v>1.5</v>
      </c>
      <c r="N14" s="10">
        <f t="shared" si="4"/>
        <v>1</v>
      </c>
      <c r="O14" s="23">
        <v>1</v>
      </c>
      <c r="P14" s="23">
        <v>70.8</v>
      </c>
    </row>
    <row r="15" spans="1:16" ht="15" customHeight="1" x14ac:dyDescent="0.25">
      <c r="A15" s="8">
        <v>13</v>
      </c>
      <c r="B15" s="9" t="s">
        <v>152</v>
      </c>
      <c r="C15" s="8" t="s">
        <v>122</v>
      </c>
      <c r="D15" s="26"/>
      <c r="E15" s="26"/>
      <c r="F15" s="26"/>
      <c r="G15" s="26"/>
      <c r="H15" s="26"/>
      <c r="I15" s="26"/>
      <c r="J15" s="8" t="str">
        <f t="shared" si="0"/>
        <v/>
      </c>
      <c r="K15" s="8" t="str">
        <f t="shared" si="1"/>
        <v/>
      </c>
      <c r="L15" s="19" t="str">
        <f t="shared" si="2"/>
        <v/>
      </c>
      <c r="M15" s="10" t="str">
        <f t="shared" si="3"/>
        <v/>
      </c>
      <c r="N15" s="10" t="str">
        <f t="shared" si="4"/>
        <v/>
      </c>
      <c r="O15" s="23">
        <v>0.5</v>
      </c>
      <c r="P15" s="23">
        <v>35</v>
      </c>
    </row>
    <row r="16" spans="1:16" ht="15" customHeight="1" x14ac:dyDescent="0.25">
      <c r="A16" s="8">
        <v>14</v>
      </c>
      <c r="B16" s="9" t="s">
        <v>19</v>
      </c>
      <c r="C16" s="8" t="s">
        <v>145</v>
      </c>
      <c r="D16" s="26">
        <v>18</v>
      </c>
      <c r="E16" s="26">
        <v>7</v>
      </c>
      <c r="F16" s="26">
        <v>7</v>
      </c>
      <c r="G16" s="26">
        <v>4</v>
      </c>
      <c r="H16" s="26">
        <v>14</v>
      </c>
      <c r="I16" s="26">
        <v>10</v>
      </c>
      <c r="J16" s="8">
        <f t="shared" si="0"/>
        <v>28</v>
      </c>
      <c r="K16" s="8">
        <f t="shared" si="1"/>
        <v>4</v>
      </c>
      <c r="L16" s="19">
        <f t="shared" si="2"/>
        <v>0.51851851851851849</v>
      </c>
      <c r="M16" s="10">
        <f t="shared" si="3"/>
        <v>0.77777777777777779</v>
      </c>
      <c r="N16" s="10">
        <f t="shared" si="4"/>
        <v>0.55555555555555558</v>
      </c>
      <c r="O16" s="23">
        <v>0.95</v>
      </c>
      <c r="P16" s="23">
        <v>49.3</v>
      </c>
    </row>
    <row r="17" spans="1:16" ht="15" customHeight="1" x14ac:dyDescent="0.25">
      <c r="A17" s="8">
        <v>15</v>
      </c>
      <c r="B17" s="9" t="s">
        <v>156</v>
      </c>
      <c r="C17" s="8" t="s">
        <v>130</v>
      </c>
      <c r="D17" s="26">
        <v>10</v>
      </c>
      <c r="E17" s="26">
        <v>6</v>
      </c>
      <c r="F17" s="26">
        <v>3</v>
      </c>
      <c r="G17" s="26">
        <v>1</v>
      </c>
      <c r="H17" s="26">
        <v>16</v>
      </c>
      <c r="I17" s="26">
        <v>8</v>
      </c>
      <c r="J17" s="8">
        <f t="shared" si="0"/>
        <v>21</v>
      </c>
      <c r="K17" s="8">
        <f t="shared" si="1"/>
        <v>8</v>
      </c>
      <c r="L17" s="19">
        <f t="shared" si="2"/>
        <v>0.7</v>
      </c>
      <c r="M17" s="10">
        <f t="shared" si="3"/>
        <v>1.6</v>
      </c>
      <c r="N17" s="10">
        <f t="shared" si="4"/>
        <v>0.8</v>
      </c>
      <c r="O17" s="23">
        <v>0.48</v>
      </c>
      <c r="P17" s="23">
        <v>33.6</v>
      </c>
    </row>
    <row r="18" spans="1:16" ht="15" customHeight="1" x14ac:dyDescent="0.25">
      <c r="A18" s="8">
        <v>16</v>
      </c>
      <c r="B18" s="9" t="s">
        <v>158</v>
      </c>
      <c r="C18" s="8" t="s">
        <v>133</v>
      </c>
      <c r="D18" s="26">
        <v>8</v>
      </c>
      <c r="E18" s="26">
        <v>5</v>
      </c>
      <c r="F18" s="26">
        <v>2</v>
      </c>
      <c r="G18" s="26">
        <v>1</v>
      </c>
      <c r="H18" s="26">
        <v>16</v>
      </c>
      <c r="I18" s="26">
        <v>9</v>
      </c>
      <c r="J18" s="8">
        <f t="shared" si="0"/>
        <v>17</v>
      </c>
      <c r="K18" s="8">
        <f t="shared" si="1"/>
        <v>7</v>
      </c>
      <c r="L18" s="19">
        <f t="shared" si="2"/>
        <v>0.70833333333333337</v>
      </c>
      <c r="M18" s="10">
        <f t="shared" si="3"/>
        <v>2</v>
      </c>
      <c r="N18" s="10">
        <f t="shared" si="4"/>
        <v>1.125</v>
      </c>
      <c r="O18" s="23">
        <v>1</v>
      </c>
      <c r="P18" s="23">
        <v>70.8</v>
      </c>
    </row>
    <row r="19" spans="1:16" ht="15" customHeight="1" x14ac:dyDescent="0.25">
      <c r="A19" s="8">
        <v>17</v>
      </c>
      <c r="B19" s="9" t="s">
        <v>160</v>
      </c>
      <c r="C19" s="8" t="s">
        <v>133</v>
      </c>
      <c r="D19" s="26">
        <v>8</v>
      </c>
      <c r="E19" s="26">
        <v>6</v>
      </c>
      <c r="F19" s="26">
        <v>1</v>
      </c>
      <c r="G19" s="26">
        <v>1</v>
      </c>
      <c r="H19" s="26">
        <v>18</v>
      </c>
      <c r="I19" s="26">
        <v>7</v>
      </c>
      <c r="J19" s="8">
        <f t="shared" si="0"/>
        <v>19</v>
      </c>
      <c r="K19" s="8">
        <f t="shared" si="1"/>
        <v>11</v>
      </c>
      <c r="L19" s="19">
        <f t="shared" si="2"/>
        <v>0.79166666666666663</v>
      </c>
      <c r="M19" s="10">
        <f t="shared" si="3"/>
        <v>2.25</v>
      </c>
      <c r="N19" s="10">
        <f t="shared" si="4"/>
        <v>0.875</v>
      </c>
      <c r="O19" s="23">
        <v>1</v>
      </c>
      <c r="P19" s="23">
        <v>79.2</v>
      </c>
    </row>
    <row r="20" spans="1:16" ht="15" customHeight="1" x14ac:dyDescent="0.25">
      <c r="A20" s="8">
        <v>18</v>
      </c>
      <c r="B20" s="9" t="s">
        <v>163</v>
      </c>
      <c r="C20" s="8" t="s">
        <v>122</v>
      </c>
      <c r="D20" s="26">
        <v>10</v>
      </c>
      <c r="E20" s="26">
        <v>4</v>
      </c>
      <c r="F20" s="26">
        <v>4</v>
      </c>
      <c r="G20" s="26">
        <v>2</v>
      </c>
      <c r="H20" s="26">
        <v>12</v>
      </c>
      <c r="I20" s="26">
        <v>9</v>
      </c>
      <c r="J20" s="8">
        <f t="shared" si="0"/>
        <v>16</v>
      </c>
      <c r="K20" s="8">
        <f t="shared" si="1"/>
        <v>3</v>
      </c>
      <c r="L20" s="19">
        <f t="shared" si="2"/>
        <v>0.53333333333333333</v>
      </c>
      <c r="M20" s="10">
        <f t="shared" si="3"/>
        <v>1.2</v>
      </c>
      <c r="N20" s="10">
        <f t="shared" si="4"/>
        <v>0.9</v>
      </c>
      <c r="O20" s="23">
        <v>0.5</v>
      </c>
      <c r="P20" s="23">
        <v>26.7</v>
      </c>
    </row>
    <row r="21" spans="1:16" ht="15" customHeight="1" x14ac:dyDescent="0.25">
      <c r="A21" s="8">
        <v>19</v>
      </c>
      <c r="B21" s="9" t="s">
        <v>165</v>
      </c>
      <c r="C21" s="8" t="s">
        <v>127</v>
      </c>
      <c r="D21" s="26">
        <v>10</v>
      </c>
      <c r="E21" s="26">
        <v>6</v>
      </c>
      <c r="F21" s="26">
        <v>2</v>
      </c>
      <c r="G21" s="26">
        <v>2</v>
      </c>
      <c r="H21" s="26">
        <v>16</v>
      </c>
      <c r="I21" s="26">
        <v>8</v>
      </c>
      <c r="J21" s="8">
        <f t="shared" si="0"/>
        <v>20</v>
      </c>
      <c r="K21" s="8">
        <f t="shared" si="1"/>
        <v>8</v>
      </c>
      <c r="L21" s="19">
        <f t="shared" si="2"/>
        <v>0.66666666666666663</v>
      </c>
      <c r="M21" s="10">
        <f t="shared" si="3"/>
        <v>1.6</v>
      </c>
      <c r="N21" s="10">
        <f t="shared" si="4"/>
        <v>0.8</v>
      </c>
      <c r="O21" s="23">
        <v>0.52</v>
      </c>
      <c r="P21" s="23">
        <v>34.700000000000003</v>
      </c>
    </row>
    <row r="22" spans="1:16" ht="15" customHeight="1" x14ac:dyDescent="0.25">
      <c r="A22" s="8">
        <v>20</v>
      </c>
      <c r="B22" s="9" t="s">
        <v>29</v>
      </c>
      <c r="C22" s="8" t="s">
        <v>145</v>
      </c>
      <c r="D22" s="26">
        <v>18</v>
      </c>
      <c r="E22" s="26">
        <v>7</v>
      </c>
      <c r="F22" s="26">
        <v>4</v>
      </c>
      <c r="G22" s="26">
        <v>7</v>
      </c>
      <c r="H22" s="26">
        <v>18</v>
      </c>
      <c r="I22" s="26">
        <v>14</v>
      </c>
      <c r="J22" s="8">
        <f t="shared" si="0"/>
        <v>25</v>
      </c>
      <c r="K22" s="8">
        <f t="shared" si="1"/>
        <v>4</v>
      </c>
      <c r="L22" s="19">
        <f t="shared" si="2"/>
        <v>0.46296296296296297</v>
      </c>
      <c r="M22" s="10">
        <f t="shared" si="3"/>
        <v>1</v>
      </c>
      <c r="N22" s="10">
        <f t="shared" si="4"/>
        <v>0.77777777777777779</v>
      </c>
      <c r="O22" s="23">
        <v>0.95</v>
      </c>
      <c r="P22" s="23">
        <v>44</v>
      </c>
    </row>
    <row r="23" spans="1:16" ht="15" customHeight="1" x14ac:dyDescent="0.25">
      <c r="A23" s="8">
        <v>21</v>
      </c>
      <c r="B23" s="9" t="s">
        <v>168</v>
      </c>
      <c r="C23" s="8" t="s">
        <v>133</v>
      </c>
      <c r="D23" s="26">
        <v>8</v>
      </c>
      <c r="E23" s="26">
        <v>6</v>
      </c>
      <c r="F23" s="26">
        <v>2</v>
      </c>
      <c r="G23" s="26">
        <v>0</v>
      </c>
      <c r="H23" s="26">
        <v>19</v>
      </c>
      <c r="I23" s="26">
        <v>8</v>
      </c>
      <c r="J23" s="8">
        <f t="shared" si="0"/>
        <v>20</v>
      </c>
      <c r="K23" s="8">
        <f t="shared" si="1"/>
        <v>11</v>
      </c>
      <c r="L23" s="19">
        <f t="shared" si="2"/>
        <v>0.83333333333333337</v>
      </c>
      <c r="M23" s="10">
        <f t="shared" si="3"/>
        <v>2.375</v>
      </c>
      <c r="N23" s="10">
        <f t="shared" si="4"/>
        <v>1</v>
      </c>
      <c r="O23" s="23">
        <v>1</v>
      </c>
      <c r="P23" s="23">
        <v>83.3</v>
      </c>
    </row>
    <row r="24" spans="1:16" ht="15" customHeight="1" x14ac:dyDescent="0.25">
      <c r="A24" s="8">
        <v>22</v>
      </c>
      <c r="B24" s="9" t="s">
        <v>171</v>
      </c>
      <c r="C24" s="8" t="s">
        <v>130</v>
      </c>
      <c r="D24" s="26">
        <v>10</v>
      </c>
      <c r="E24" s="26">
        <v>8</v>
      </c>
      <c r="F24" s="26">
        <v>2</v>
      </c>
      <c r="G24" s="26">
        <v>0</v>
      </c>
      <c r="H24" s="26">
        <v>26</v>
      </c>
      <c r="I24" s="26">
        <v>4</v>
      </c>
      <c r="J24" s="8">
        <f t="shared" si="0"/>
        <v>26</v>
      </c>
      <c r="K24" s="8">
        <f t="shared" si="1"/>
        <v>22</v>
      </c>
      <c r="L24" s="19">
        <f t="shared" si="2"/>
        <v>0.8666666666666667</v>
      </c>
      <c r="M24" s="10">
        <f t="shared" si="3"/>
        <v>2.6</v>
      </c>
      <c r="N24" s="10">
        <f t="shared" si="4"/>
        <v>0.4</v>
      </c>
      <c r="O24" s="23">
        <v>0.48</v>
      </c>
      <c r="P24" s="23">
        <v>41.6</v>
      </c>
    </row>
    <row r="25" spans="1:16" ht="15" customHeight="1" x14ac:dyDescent="0.25">
      <c r="A25" s="8">
        <v>23</v>
      </c>
      <c r="B25" s="9" t="s">
        <v>26</v>
      </c>
      <c r="C25" s="8" t="s">
        <v>133</v>
      </c>
      <c r="D25" s="26">
        <v>8</v>
      </c>
      <c r="E25" s="26">
        <v>4</v>
      </c>
      <c r="F25" s="26">
        <v>2</v>
      </c>
      <c r="G25" s="26">
        <v>2</v>
      </c>
      <c r="H25" s="26">
        <v>14</v>
      </c>
      <c r="I25" s="26">
        <v>10</v>
      </c>
      <c r="J25" s="8">
        <f t="shared" si="0"/>
        <v>14</v>
      </c>
      <c r="K25" s="8">
        <f t="shared" si="1"/>
        <v>4</v>
      </c>
      <c r="L25" s="19">
        <f t="shared" si="2"/>
        <v>0.58333333333333337</v>
      </c>
      <c r="M25" s="10">
        <f t="shared" si="3"/>
        <v>1.75</v>
      </c>
      <c r="N25" s="10">
        <f t="shared" si="4"/>
        <v>1.25</v>
      </c>
      <c r="O25" s="23">
        <v>1</v>
      </c>
      <c r="P25" s="23">
        <v>58.3</v>
      </c>
    </row>
    <row r="26" spans="1:16" ht="15" customHeight="1" x14ac:dyDescent="0.25">
      <c r="A26" s="8">
        <v>24</v>
      </c>
      <c r="B26" s="9" t="s">
        <v>174</v>
      </c>
      <c r="C26" s="8" t="s">
        <v>127</v>
      </c>
      <c r="D26" s="26">
        <v>10</v>
      </c>
      <c r="E26" s="26">
        <v>6</v>
      </c>
      <c r="F26" s="26">
        <v>3</v>
      </c>
      <c r="G26" s="26">
        <v>1</v>
      </c>
      <c r="H26" s="26">
        <v>12</v>
      </c>
      <c r="I26" s="26">
        <v>2</v>
      </c>
      <c r="J26" s="8">
        <f t="shared" si="0"/>
        <v>21</v>
      </c>
      <c r="K26" s="8">
        <f t="shared" si="1"/>
        <v>10</v>
      </c>
      <c r="L26" s="19">
        <f t="shared" si="2"/>
        <v>0.7</v>
      </c>
      <c r="M26" s="10">
        <f t="shared" si="3"/>
        <v>1.2</v>
      </c>
      <c r="N26" s="10">
        <f t="shared" si="4"/>
        <v>0.2</v>
      </c>
      <c r="O26" s="23">
        <v>0.52</v>
      </c>
      <c r="P26" s="23">
        <v>36.4</v>
      </c>
    </row>
    <row r="27" spans="1:16" ht="15" customHeight="1" x14ac:dyDescent="0.25">
      <c r="A27" s="8">
        <v>25</v>
      </c>
      <c r="B27" s="9" t="s">
        <v>176</v>
      </c>
      <c r="C27" s="8" t="s">
        <v>133</v>
      </c>
      <c r="D27" s="26">
        <v>8</v>
      </c>
      <c r="E27" s="26">
        <v>5</v>
      </c>
      <c r="F27" s="26">
        <v>3</v>
      </c>
      <c r="G27" s="26">
        <v>0</v>
      </c>
      <c r="H27" s="26">
        <v>20</v>
      </c>
      <c r="I27" s="26">
        <v>9</v>
      </c>
      <c r="J27" s="8">
        <f t="shared" si="0"/>
        <v>18</v>
      </c>
      <c r="K27" s="8">
        <f t="shared" si="1"/>
        <v>11</v>
      </c>
      <c r="L27" s="19">
        <f t="shared" si="2"/>
        <v>0.75</v>
      </c>
      <c r="M27" s="10">
        <f t="shared" si="3"/>
        <v>2.5</v>
      </c>
      <c r="N27" s="10">
        <f t="shared" si="4"/>
        <v>1.125</v>
      </c>
      <c r="O27" s="23">
        <v>1</v>
      </c>
      <c r="P27" s="23">
        <v>75</v>
      </c>
    </row>
    <row r="28" spans="1:16" ht="15" customHeight="1" x14ac:dyDescent="0.25">
      <c r="A28" s="8">
        <v>26</v>
      </c>
      <c r="B28" s="9" t="s">
        <v>179</v>
      </c>
      <c r="C28" s="8" t="s">
        <v>127</v>
      </c>
      <c r="D28" s="26">
        <v>10</v>
      </c>
      <c r="E28" s="26">
        <v>7</v>
      </c>
      <c r="F28" s="26">
        <v>2</v>
      </c>
      <c r="G28" s="26">
        <v>1</v>
      </c>
      <c r="H28" s="26">
        <v>18</v>
      </c>
      <c r="I28" s="26">
        <v>5</v>
      </c>
      <c r="J28" s="8">
        <f t="shared" si="0"/>
        <v>23</v>
      </c>
      <c r="K28" s="8">
        <f t="shared" si="1"/>
        <v>13</v>
      </c>
      <c r="L28" s="19">
        <f t="shared" si="2"/>
        <v>0.76666666666666672</v>
      </c>
      <c r="M28" s="10">
        <f t="shared" si="3"/>
        <v>1.8</v>
      </c>
      <c r="N28" s="10">
        <f t="shared" si="4"/>
        <v>0.5</v>
      </c>
      <c r="O28" s="23">
        <v>0.52</v>
      </c>
      <c r="P28" s="23">
        <v>39.9</v>
      </c>
    </row>
    <row r="29" spans="1:16" ht="15" customHeight="1" x14ac:dyDescent="0.25">
      <c r="A29" s="8">
        <v>27</v>
      </c>
      <c r="B29" s="9" t="s">
        <v>181</v>
      </c>
      <c r="C29" s="8" t="s">
        <v>130</v>
      </c>
      <c r="D29" s="26">
        <v>10</v>
      </c>
      <c r="E29" s="26">
        <v>8</v>
      </c>
      <c r="F29" s="26">
        <v>2</v>
      </c>
      <c r="G29" s="26">
        <v>0</v>
      </c>
      <c r="H29" s="26">
        <v>18</v>
      </c>
      <c r="I29" s="26">
        <v>4</v>
      </c>
      <c r="J29" s="8">
        <f t="shared" si="0"/>
        <v>26</v>
      </c>
      <c r="K29" s="8">
        <f t="shared" si="1"/>
        <v>14</v>
      </c>
      <c r="L29" s="19">
        <f t="shared" si="2"/>
        <v>0.8666666666666667</v>
      </c>
      <c r="M29" s="10">
        <f t="shared" si="3"/>
        <v>1.8</v>
      </c>
      <c r="N29" s="10">
        <f t="shared" si="4"/>
        <v>0.4</v>
      </c>
      <c r="O29" s="23">
        <v>0.48</v>
      </c>
      <c r="P29" s="23">
        <v>41.6</v>
      </c>
    </row>
    <row r="30" spans="1:16" ht="15" customHeight="1" x14ac:dyDescent="0.25">
      <c r="A30" s="8">
        <v>28</v>
      </c>
      <c r="B30" s="9" t="s">
        <v>183</v>
      </c>
      <c r="C30" s="8" t="s">
        <v>185</v>
      </c>
      <c r="D30" s="26">
        <v>8</v>
      </c>
      <c r="E30" s="26">
        <v>7</v>
      </c>
      <c r="F30" s="26">
        <v>1</v>
      </c>
      <c r="G30" s="26">
        <v>0</v>
      </c>
      <c r="H30" s="26">
        <v>22</v>
      </c>
      <c r="I30" s="26">
        <v>3</v>
      </c>
      <c r="J30" s="8">
        <f t="shared" si="0"/>
        <v>22</v>
      </c>
      <c r="K30" s="8">
        <f t="shared" si="1"/>
        <v>19</v>
      </c>
      <c r="L30" s="19">
        <f t="shared" si="2"/>
        <v>0.91666666666666663</v>
      </c>
      <c r="M30" s="10">
        <f t="shared" si="3"/>
        <v>2.75</v>
      </c>
      <c r="N30" s="10">
        <f t="shared" si="4"/>
        <v>0.375</v>
      </c>
      <c r="O30" s="23">
        <v>0.2</v>
      </c>
      <c r="P30" s="23">
        <v>18.3</v>
      </c>
    </row>
    <row r="31" spans="1:16" ht="15" customHeight="1" x14ac:dyDescent="0.25">
      <c r="A31" s="8">
        <v>29</v>
      </c>
      <c r="B31" s="9" t="s">
        <v>186</v>
      </c>
      <c r="C31" s="8" t="s">
        <v>133</v>
      </c>
      <c r="D31" s="26">
        <v>8</v>
      </c>
      <c r="E31" s="26">
        <v>7</v>
      </c>
      <c r="F31" s="26">
        <v>1</v>
      </c>
      <c r="G31" s="26">
        <v>0</v>
      </c>
      <c r="H31" s="26">
        <v>21</v>
      </c>
      <c r="I31" s="26">
        <v>4</v>
      </c>
      <c r="J31" s="8">
        <f t="shared" si="0"/>
        <v>22</v>
      </c>
      <c r="K31" s="8">
        <f t="shared" si="1"/>
        <v>17</v>
      </c>
      <c r="L31" s="19">
        <f t="shared" si="2"/>
        <v>0.91666666666666663</v>
      </c>
      <c r="M31" s="10">
        <f t="shared" si="3"/>
        <v>2.625</v>
      </c>
      <c r="N31" s="10">
        <f t="shared" si="4"/>
        <v>0.5</v>
      </c>
      <c r="O31" s="23">
        <v>1</v>
      </c>
      <c r="P31" s="23">
        <v>91.7</v>
      </c>
    </row>
    <row r="32" spans="1:16" ht="15" customHeight="1" x14ac:dyDescent="0.25">
      <c r="A32" s="8">
        <v>30</v>
      </c>
      <c r="B32" s="9" t="s">
        <v>189</v>
      </c>
      <c r="C32" s="8" t="s">
        <v>127</v>
      </c>
      <c r="D32" s="26">
        <v>10</v>
      </c>
      <c r="E32" s="26">
        <v>6</v>
      </c>
      <c r="F32" s="26">
        <v>1</v>
      </c>
      <c r="G32" s="26">
        <v>3</v>
      </c>
      <c r="H32" s="26">
        <v>13</v>
      </c>
      <c r="I32" s="26">
        <v>9</v>
      </c>
      <c r="J32" s="8">
        <f t="shared" si="0"/>
        <v>19</v>
      </c>
      <c r="K32" s="8">
        <f t="shared" si="1"/>
        <v>4</v>
      </c>
      <c r="L32" s="19">
        <f t="shared" si="2"/>
        <v>0.6333333333333333</v>
      </c>
      <c r="M32" s="10">
        <f t="shared" si="3"/>
        <v>1.3</v>
      </c>
      <c r="N32" s="10">
        <f t="shared" si="4"/>
        <v>0.9</v>
      </c>
      <c r="O32" s="23">
        <v>0.52</v>
      </c>
      <c r="P32" s="23">
        <v>32.9</v>
      </c>
    </row>
    <row r="33" spans="1:16" ht="15" customHeight="1" x14ac:dyDescent="0.25">
      <c r="A33" s="8">
        <v>31</v>
      </c>
      <c r="B33" s="9" t="s">
        <v>191</v>
      </c>
      <c r="C33" s="8" t="s">
        <v>130</v>
      </c>
      <c r="D33" s="26">
        <v>12</v>
      </c>
      <c r="E33" s="26">
        <v>5</v>
      </c>
      <c r="F33" s="26">
        <v>4</v>
      </c>
      <c r="G33" s="26">
        <v>3</v>
      </c>
      <c r="H33" s="26">
        <v>12</v>
      </c>
      <c r="I33" s="26">
        <v>8</v>
      </c>
      <c r="J33" s="8">
        <f t="shared" si="0"/>
        <v>19</v>
      </c>
      <c r="K33" s="8">
        <f t="shared" si="1"/>
        <v>4</v>
      </c>
      <c r="L33" s="19">
        <f t="shared" si="2"/>
        <v>0.52777777777777779</v>
      </c>
      <c r="M33" s="10">
        <f t="shared" si="3"/>
        <v>1</v>
      </c>
      <c r="N33" s="10">
        <f t="shared" si="4"/>
        <v>0.66666666666666663</v>
      </c>
      <c r="O33" s="23">
        <v>0.48</v>
      </c>
      <c r="P33" s="23">
        <v>25.3</v>
      </c>
    </row>
    <row r="34" spans="1:16" ht="15" customHeight="1" x14ac:dyDescent="0.25">
      <c r="A34" s="8">
        <v>32</v>
      </c>
      <c r="B34" s="9" t="s">
        <v>193</v>
      </c>
      <c r="C34" s="8" t="s">
        <v>145</v>
      </c>
      <c r="D34" s="26">
        <v>18</v>
      </c>
      <c r="E34" s="26">
        <v>8</v>
      </c>
      <c r="F34" s="26">
        <v>4</v>
      </c>
      <c r="G34" s="26">
        <v>6</v>
      </c>
      <c r="H34" s="26">
        <v>22</v>
      </c>
      <c r="I34" s="26">
        <v>16</v>
      </c>
      <c r="J34" s="8">
        <f t="shared" si="0"/>
        <v>28</v>
      </c>
      <c r="K34" s="8">
        <f t="shared" si="1"/>
        <v>6</v>
      </c>
      <c r="L34" s="19">
        <f t="shared" si="2"/>
        <v>0.51851851851851849</v>
      </c>
      <c r="M34" s="10">
        <f t="shared" si="3"/>
        <v>1.2222222222222223</v>
      </c>
      <c r="N34" s="10">
        <f t="shared" si="4"/>
        <v>0.88888888888888884</v>
      </c>
      <c r="O34" s="23">
        <v>0.95</v>
      </c>
      <c r="P34" s="23">
        <v>49.3</v>
      </c>
    </row>
    <row r="35" spans="1:16" ht="15" customHeight="1" x14ac:dyDescent="0.25">
      <c r="A35" s="8">
        <v>33</v>
      </c>
      <c r="B35" s="9" t="s">
        <v>195</v>
      </c>
      <c r="C35" s="8" t="s">
        <v>133</v>
      </c>
      <c r="D35" s="26">
        <v>8</v>
      </c>
      <c r="E35" s="26">
        <v>7</v>
      </c>
      <c r="F35" s="26">
        <v>1</v>
      </c>
      <c r="G35" s="26">
        <v>0</v>
      </c>
      <c r="H35" s="26">
        <v>18</v>
      </c>
      <c r="I35" s="26">
        <v>5</v>
      </c>
      <c r="J35" s="8">
        <f t="shared" si="0"/>
        <v>22</v>
      </c>
      <c r="K35" s="8">
        <f t="shared" si="1"/>
        <v>13</v>
      </c>
      <c r="L35" s="19">
        <f t="shared" si="2"/>
        <v>0.91666666666666663</v>
      </c>
      <c r="M35" s="10">
        <f t="shared" si="3"/>
        <v>2.25</v>
      </c>
      <c r="N35" s="10">
        <f t="shared" si="4"/>
        <v>0.625</v>
      </c>
      <c r="O35" s="23">
        <v>1</v>
      </c>
      <c r="P35" s="23">
        <v>91.7</v>
      </c>
    </row>
    <row r="36" spans="1:16" ht="15" customHeight="1" x14ac:dyDescent="0.25">
      <c r="A36" s="8">
        <v>34</v>
      </c>
      <c r="B36" s="9" t="s">
        <v>35</v>
      </c>
      <c r="C36" s="8" t="s">
        <v>127</v>
      </c>
      <c r="D36" s="26">
        <v>10</v>
      </c>
      <c r="E36" s="26">
        <v>6</v>
      </c>
      <c r="F36" s="26">
        <v>3</v>
      </c>
      <c r="G36" s="26">
        <v>1</v>
      </c>
      <c r="H36" s="26">
        <v>15</v>
      </c>
      <c r="I36" s="26">
        <v>6</v>
      </c>
      <c r="J36" s="8">
        <f t="shared" si="0"/>
        <v>21</v>
      </c>
      <c r="K36" s="8">
        <f t="shared" si="1"/>
        <v>9</v>
      </c>
      <c r="L36" s="19">
        <f t="shared" si="2"/>
        <v>0.7</v>
      </c>
      <c r="M36" s="10">
        <f t="shared" si="3"/>
        <v>1.5</v>
      </c>
      <c r="N36" s="10">
        <f t="shared" si="4"/>
        <v>0.6</v>
      </c>
      <c r="O36" s="23">
        <v>0.52</v>
      </c>
      <c r="P36" s="23">
        <v>36.4</v>
      </c>
    </row>
    <row r="37" spans="1:16" ht="15" customHeight="1" x14ac:dyDescent="0.25">
      <c r="A37" s="8">
        <v>35</v>
      </c>
      <c r="B37" s="9" t="s">
        <v>199</v>
      </c>
      <c r="C37" s="8" t="s">
        <v>130</v>
      </c>
      <c r="D37" s="26">
        <v>12</v>
      </c>
      <c r="E37" s="26">
        <v>5</v>
      </c>
      <c r="F37" s="26">
        <v>4</v>
      </c>
      <c r="G37" s="26">
        <v>3</v>
      </c>
      <c r="H37" s="26">
        <v>14</v>
      </c>
      <c r="I37" s="26">
        <v>10</v>
      </c>
      <c r="J37" s="8">
        <f t="shared" si="0"/>
        <v>19</v>
      </c>
      <c r="K37" s="8">
        <f t="shared" si="1"/>
        <v>4</v>
      </c>
      <c r="L37" s="19">
        <f t="shared" si="2"/>
        <v>0.52777777777777779</v>
      </c>
      <c r="M37" s="10">
        <f t="shared" si="3"/>
        <v>1.1666666666666667</v>
      </c>
      <c r="N37" s="10">
        <f t="shared" si="4"/>
        <v>0.83333333333333337</v>
      </c>
      <c r="O37" s="23">
        <v>0.48</v>
      </c>
      <c r="P37" s="23">
        <v>25.3</v>
      </c>
    </row>
    <row r="38" spans="1:16" ht="15" customHeight="1" x14ac:dyDescent="0.25">
      <c r="A38" s="8">
        <v>36</v>
      </c>
      <c r="B38" s="9" t="s">
        <v>201</v>
      </c>
      <c r="C38" s="8" t="s">
        <v>133</v>
      </c>
      <c r="D38" s="26">
        <v>8</v>
      </c>
      <c r="E38" s="26">
        <v>7</v>
      </c>
      <c r="F38" s="26">
        <v>1</v>
      </c>
      <c r="G38" s="26">
        <v>0</v>
      </c>
      <c r="H38" s="26">
        <v>28</v>
      </c>
      <c r="I38" s="26">
        <v>5</v>
      </c>
      <c r="J38" s="8">
        <f t="shared" si="0"/>
        <v>22</v>
      </c>
      <c r="K38" s="8">
        <f t="shared" si="1"/>
        <v>23</v>
      </c>
      <c r="L38" s="19">
        <f t="shared" si="2"/>
        <v>0.91666666666666663</v>
      </c>
      <c r="M38" s="10">
        <f t="shared" si="3"/>
        <v>3.5</v>
      </c>
      <c r="N38" s="10">
        <f t="shared" si="4"/>
        <v>0.625</v>
      </c>
      <c r="O38" s="23">
        <v>1</v>
      </c>
      <c r="P38" s="23">
        <v>91.7</v>
      </c>
    </row>
    <row r="39" spans="1:16" ht="15" customHeight="1" x14ac:dyDescent="0.25">
      <c r="A39" s="8">
        <v>37</v>
      </c>
      <c r="B39" s="9" t="s">
        <v>203</v>
      </c>
      <c r="C39" s="8" t="s">
        <v>145</v>
      </c>
      <c r="D39" s="26">
        <v>18</v>
      </c>
      <c r="E39" s="26">
        <v>12</v>
      </c>
      <c r="F39" s="26">
        <v>2</v>
      </c>
      <c r="G39" s="26">
        <v>4</v>
      </c>
      <c r="H39" s="26">
        <v>31</v>
      </c>
      <c r="I39" s="26">
        <v>14</v>
      </c>
      <c r="J39" s="8">
        <f t="shared" si="0"/>
        <v>38</v>
      </c>
      <c r="K39" s="8">
        <f t="shared" si="1"/>
        <v>17</v>
      </c>
      <c r="L39" s="19">
        <f t="shared" si="2"/>
        <v>0.70370370370370372</v>
      </c>
      <c r="M39" s="10">
        <f t="shared" si="3"/>
        <v>1.7222222222222223</v>
      </c>
      <c r="N39" s="10">
        <f t="shared" si="4"/>
        <v>0.77777777777777779</v>
      </c>
      <c r="O39" s="23">
        <v>0.95</v>
      </c>
      <c r="P39" s="23">
        <v>66.900000000000006</v>
      </c>
    </row>
    <row r="40" spans="1:16" ht="15" customHeight="1" x14ac:dyDescent="0.25">
      <c r="A40" s="8">
        <v>38</v>
      </c>
      <c r="B40" s="9" t="s">
        <v>45</v>
      </c>
      <c r="C40" s="8" t="s">
        <v>127</v>
      </c>
      <c r="D40" s="26">
        <v>10</v>
      </c>
      <c r="E40" s="26">
        <v>7</v>
      </c>
      <c r="F40" s="26">
        <v>1</v>
      </c>
      <c r="G40" s="26">
        <v>2</v>
      </c>
      <c r="H40" s="26">
        <v>18</v>
      </c>
      <c r="I40" s="26">
        <v>8</v>
      </c>
      <c r="J40" s="8">
        <f t="shared" si="0"/>
        <v>22</v>
      </c>
      <c r="K40" s="8">
        <f t="shared" si="1"/>
        <v>10</v>
      </c>
      <c r="L40" s="19">
        <f t="shared" si="2"/>
        <v>0.73333333333333328</v>
      </c>
      <c r="M40" s="10">
        <f t="shared" si="3"/>
        <v>1.8</v>
      </c>
      <c r="N40" s="10">
        <f t="shared" si="4"/>
        <v>0.8</v>
      </c>
      <c r="O40" s="23">
        <v>0.52</v>
      </c>
      <c r="P40" s="23">
        <v>38.1</v>
      </c>
    </row>
    <row r="41" spans="1:16" ht="15" customHeight="1" x14ac:dyDescent="0.25">
      <c r="A41" s="8">
        <v>39</v>
      </c>
      <c r="B41" s="9" t="s">
        <v>207</v>
      </c>
      <c r="C41" s="8" t="s">
        <v>133</v>
      </c>
      <c r="D41" s="26">
        <v>8</v>
      </c>
      <c r="E41" s="26">
        <v>7</v>
      </c>
      <c r="F41" s="26">
        <v>0</v>
      </c>
      <c r="G41" s="26">
        <v>1</v>
      </c>
      <c r="H41" s="26">
        <v>18</v>
      </c>
      <c r="I41" s="26">
        <v>6</v>
      </c>
      <c r="J41" s="8">
        <f t="shared" si="0"/>
        <v>21</v>
      </c>
      <c r="K41" s="8">
        <f t="shared" si="1"/>
        <v>12</v>
      </c>
      <c r="L41" s="19">
        <f t="shared" si="2"/>
        <v>0.875</v>
      </c>
      <c r="M41" s="10">
        <f t="shared" si="3"/>
        <v>2.25</v>
      </c>
      <c r="N41" s="10">
        <f t="shared" si="4"/>
        <v>0.75</v>
      </c>
      <c r="O41" s="23">
        <v>1</v>
      </c>
      <c r="P41" s="23">
        <v>87.5</v>
      </c>
    </row>
    <row r="42" spans="1:16" ht="15" customHeight="1" x14ac:dyDescent="0.25">
      <c r="A42" s="8">
        <v>40</v>
      </c>
      <c r="B42" s="9" t="s">
        <v>209</v>
      </c>
      <c r="C42" s="8" t="s">
        <v>130</v>
      </c>
      <c r="D42" s="26">
        <v>10</v>
      </c>
      <c r="E42" s="26">
        <v>6</v>
      </c>
      <c r="F42" s="26">
        <v>3</v>
      </c>
      <c r="G42" s="26">
        <v>1</v>
      </c>
      <c r="H42" s="26">
        <v>15</v>
      </c>
      <c r="I42" s="26">
        <v>7</v>
      </c>
      <c r="J42" s="8">
        <f t="shared" si="0"/>
        <v>21</v>
      </c>
      <c r="K42" s="8">
        <f t="shared" si="1"/>
        <v>8</v>
      </c>
      <c r="L42" s="19">
        <f t="shared" si="2"/>
        <v>0.7</v>
      </c>
      <c r="M42" s="10">
        <f t="shared" si="3"/>
        <v>1.5</v>
      </c>
      <c r="N42" s="10">
        <f t="shared" si="4"/>
        <v>0.7</v>
      </c>
      <c r="O42" s="23">
        <v>0.48</v>
      </c>
      <c r="P42" s="23">
        <v>33.6</v>
      </c>
    </row>
    <row r="43" spans="1:16" ht="15" customHeight="1" x14ac:dyDescent="0.25">
      <c r="A43" s="8">
        <v>41</v>
      </c>
      <c r="B43" s="9" t="s">
        <v>211</v>
      </c>
      <c r="C43" s="8" t="s">
        <v>133</v>
      </c>
      <c r="D43" s="26">
        <v>8</v>
      </c>
      <c r="E43" s="26">
        <v>6</v>
      </c>
      <c r="F43" s="26">
        <v>2</v>
      </c>
      <c r="G43" s="26">
        <v>0</v>
      </c>
      <c r="H43" s="26">
        <v>20</v>
      </c>
      <c r="I43" s="26">
        <v>6</v>
      </c>
      <c r="J43" s="8">
        <f t="shared" si="0"/>
        <v>20</v>
      </c>
      <c r="K43" s="8">
        <f t="shared" si="1"/>
        <v>14</v>
      </c>
      <c r="L43" s="19">
        <f t="shared" si="2"/>
        <v>0.83333333333333337</v>
      </c>
      <c r="M43" s="10">
        <f t="shared" si="3"/>
        <v>2.5</v>
      </c>
      <c r="N43" s="10">
        <f t="shared" si="4"/>
        <v>0.75</v>
      </c>
      <c r="O43" s="23">
        <v>1</v>
      </c>
      <c r="P43" s="23">
        <v>83.3</v>
      </c>
    </row>
    <row r="44" spans="1:16" ht="15" customHeight="1" x14ac:dyDescent="0.25">
      <c r="A44" s="8">
        <v>42</v>
      </c>
      <c r="B44" s="9" t="s">
        <v>32</v>
      </c>
      <c r="C44" s="8" t="s">
        <v>127</v>
      </c>
      <c r="D44" s="26">
        <v>10</v>
      </c>
      <c r="E44" s="26">
        <v>5</v>
      </c>
      <c r="F44" s="26">
        <v>3</v>
      </c>
      <c r="G44" s="26">
        <v>2</v>
      </c>
      <c r="H44" s="26">
        <v>13</v>
      </c>
      <c r="I44" s="26">
        <v>9</v>
      </c>
      <c r="J44" s="8">
        <f t="shared" si="0"/>
        <v>18</v>
      </c>
      <c r="K44" s="8">
        <f t="shared" si="1"/>
        <v>4</v>
      </c>
      <c r="L44" s="19">
        <f t="shared" si="2"/>
        <v>0.6</v>
      </c>
      <c r="M44" s="10">
        <f t="shared" si="3"/>
        <v>1.3</v>
      </c>
      <c r="N44" s="10">
        <f t="shared" si="4"/>
        <v>0.9</v>
      </c>
      <c r="O44" s="23">
        <v>0.52</v>
      </c>
      <c r="P44" s="23">
        <v>31.2</v>
      </c>
    </row>
    <row r="45" spans="1:16" ht="15" customHeight="1" x14ac:dyDescent="0.25">
      <c r="A45" s="8">
        <v>43</v>
      </c>
      <c r="B45" s="9" t="s">
        <v>215</v>
      </c>
      <c r="C45" s="8" t="s">
        <v>130</v>
      </c>
      <c r="D45" s="26">
        <v>10</v>
      </c>
      <c r="E45" s="26">
        <v>6</v>
      </c>
      <c r="F45" s="26">
        <v>3</v>
      </c>
      <c r="G45" s="26">
        <v>1</v>
      </c>
      <c r="H45" s="26">
        <v>14</v>
      </c>
      <c r="I45" s="26">
        <v>6</v>
      </c>
      <c r="J45" s="8">
        <f t="shared" si="0"/>
        <v>21</v>
      </c>
      <c r="K45" s="8">
        <f t="shared" si="1"/>
        <v>8</v>
      </c>
      <c r="L45" s="19">
        <f t="shared" si="2"/>
        <v>0.7</v>
      </c>
      <c r="M45" s="10">
        <f t="shared" si="3"/>
        <v>1.4</v>
      </c>
      <c r="N45" s="10">
        <f t="shared" si="4"/>
        <v>0.6</v>
      </c>
      <c r="O45" s="23">
        <v>0.48</v>
      </c>
      <c r="P45" s="23">
        <v>33.6</v>
      </c>
    </row>
    <row r="46" spans="1:16" ht="15" customHeight="1" x14ac:dyDescent="0.25">
      <c r="A46" s="8">
        <v>44</v>
      </c>
      <c r="B46" s="9" t="s">
        <v>217</v>
      </c>
      <c r="C46" s="8" t="s">
        <v>145</v>
      </c>
      <c r="D46" s="26">
        <v>18</v>
      </c>
      <c r="E46" s="26">
        <v>8</v>
      </c>
      <c r="F46" s="26">
        <v>4</v>
      </c>
      <c r="G46" s="26">
        <v>6</v>
      </c>
      <c r="H46" s="26">
        <v>22</v>
      </c>
      <c r="I46" s="26">
        <v>18</v>
      </c>
      <c r="J46" s="8">
        <f t="shared" si="0"/>
        <v>28</v>
      </c>
      <c r="K46" s="8">
        <f t="shared" si="1"/>
        <v>4</v>
      </c>
      <c r="L46" s="19">
        <f t="shared" si="2"/>
        <v>0.51851851851851849</v>
      </c>
      <c r="M46" s="10">
        <f t="shared" si="3"/>
        <v>1.2222222222222223</v>
      </c>
      <c r="N46" s="10">
        <f t="shared" si="4"/>
        <v>1</v>
      </c>
      <c r="O46" s="23">
        <v>0.95</v>
      </c>
      <c r="P46" s="23">
        <v>49.3</v>
      </c>
    </row>
    <row r="47" spans="1:16" ht="15" customHeight="1" x14ac:dyDescent="0.25">
      <c r="A47" s="8">
        <v>45</v>
      </c>
      <c r="B47" s="9" t="s">
        <v>219</v>
      </c>
      <c r="C47" s="8" t="s">
        <v>133</v>
      </c>
      <c r="D47" s="26">
        <v>8</v>
      </c>
      <c r="E47" s="26">
        <v>8</v>
      </c>
      <c r="F47" s="26">
        <v>0</v>
      </c>
      <c r="G47" s="26">
        <v>0</v>
      </c>
      <c r="H47" s="26">
        <v>22</v>
      </c>
      <c r="I47" s="26">
        <v>3</v>
      </c>
      <c r="J47" s="8">
        <f t="shared" si="0"/>
        <v>24</v>
      </c>
      <c r="K47" s="8">
        <f t="shared" si="1"/>
        <v>19</v>
      </c>
      <c r="L47" s="19">
        <f t="shared" si="2"/>
        <v>1</v>
      </c>
      <c r="M47" s="10">
        <f t="shared" si="3"/>
        <v>2.75</v>
      </c>
      <c r="N47" s="10">
        <f t="shared" si="4"/>
        <v>0.375</v>
      </c>
      <c r="O47" s="23">
        <v>1</v>
      </c>
      <c r="P47" s="23">
        <v>100</v>
      </c>
    </row>
    <row r="48" spans="1:16" ht="15" customHeight="1" x14ac:dyDescent="0.25">
      <c r="A48" s="8">
        <v>46</v>
      </c>
      <c r="B48" s="9" t="s">
        <v>222</v>
      </c>
      <c r="C48" s="8" t="s">
        <v>133</v>
      </c>
      <c r="D48" s="26">
        <v>8</v>
      </c>
      <c r="E48" s="26">
        <v>7</v>
      </c>
      <c r="F48" s="26">
        <v>1</v>
      </c>
      <c r="G48" s="26">
        <v>0</v>
      </c>
      <c r="H48" s="26">
        <v>20</v>
      </c>
      <c r="I48" s="26">
        <v>5</v>
      </c>
      <c r="J48" s="8">
        <f t="shared" si="0"/>
        <v>22</v>
      </c>
      <c r="K48" s="8">
        <f t="shared" si="1"/>
        <v>15</v>
      </c>
      <c r="L48" s="19">
        <f t="shared" si="2"/>
        <v>0.91666666666666663</v>
      </c>
      <c r="M48" s="10">
        <f t="shared" si="3"/>
        <v>2.5</v>
      </c>
      <c r="N48" s="10">
        <f t="shared" si="4"/>
        <v>0.625</v>
      </c>
      <c r="O48" s="23">
        <v>1</v>
      </c>
      <c r="P48" s="23">
        <v>91.7</v>
      </c>
    </row>
    <row r="49" spans="1:16" ht="15" customHeight="1" x14ac:dyDescent="0.25">
      <c r="A49" s="8">
        <v>47</v>
      </c>
      <c r="B49" s="9" t="s">
        <v>52</v>
      </c>
      <c r="C49" s="8" t="s">
        <v>127</v>
      </c>
      <c r="D49" s="26">
        <v>10</v>
      </c>
      <c r="E49" s="26">
        <v>6</v>
      </c>
      <c r="F49" s="26">
        <v>1</v>
      </c>
      <c r="G49" s="26">
        <v>3</v>
      </c>
      <c r="H49" s="26">
        <v>18</v>
      </c>
      <c r="I49" s="26">
        <v>10</v>
      </c>
      <c r="J49" s="8">
        <f t="shared" si="0"/>
        <v>19</v>
      </c>
      <c r="K49" s="8">
        <f t="shared" si="1"/>
        <v>8</v>
      </c>
      <c r="L49" s="19">
        <f t="shared" si="2"/>
        <v>0.6333333333333333</v>
      </c>
      <c r="M49" s="10">
        <f t="shared" si="3"/>
        <v>1.8</v>
      </c>
      <c r="N49" s="10">
        <f t="shared" si="4"/>
        <v>1</v>
      </c>
      <c r="O49" s="23">
        <v>0.52</v>
      </c>
      <c r="P49" s="23">
        <v>32.9</v>
      </c>
    </row>
    <row r="50" spans="1:16" ht="15" customHeight="1" x14ac:dyDescent="0.25">
      <c r="A50" s="8">
        <v>48</v>
      </c>
      <c r="B50" s="9" t="s">
        <v>225</v>
      </c>
      <c r="C50" s="8" t="s">
        <v>122</v>
      </c>
      <c r="D50" s="26">
        <v>10</v>
      </c>
      <c r="E50" s="26">
        <v>5</v>
      </c>
      <c r="F50" s="26">
        <v>3</v>
      </c>
      <c r="G50" s="26">
        <v>2</v>
      </c>
      <c r="H50" s="26">
        <v>14</v>
      </c>
      <c r="I50" s="26">
        <v>9</v>
      </c>
      <c r="J50" s="8">
        <f t="shared" si="0"/>
        <v>18</v>
      </c>
      <c r="K50" s="8">
        <f t="shared" si="1"/>
        <v>5</v>
      </c>
      <c r="L50" s="19">
        <f t="shared" si="2"/>
        <v>0.6</v>
      </c>
      <c r="M50" s="10">
        <f t="shared" si="3"/>
        <v>1.4</v>
      </c>
      <c r="N50" s="10">
        <f t="shared" si="4"/>
        <v>0.9</v>
      </c>
      <c r="O50" s="23">
        <v>0.5</v>
      </c>
      <c r="P50" s="23">
        <v>30</v>
      </c>
    </row>
    <row r="51" spans="1:16" ht="15.75" customHeight="1" x14ac:dyDescent="0.25"/>
    <row r="52" spans="1:16" ht="15" customHeight="1" x14ac:dyDescent="0.25">
      <c r="B52" s="32" t="s">
        <v>430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</row>
    <row r="53" spans="1:16" ht="15.75" customHeight="1" x14ac:dyDescent="0.25"/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52:N52"/>
    <mergeCell ref="A1:N1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>
      <pane ySplit="2" topLeftCell="A6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5" customWidth="1"/>
    <col min="2" max="2" width="24" customWidth="1"/>
    <col min="3" max="3" width="7" customWidth="1"/>
    <col min="4" max="4" width="14" customWidth="1"/>
    <col min="5" max="5" width="15" customWidth="1"/>
    <col min="6" max="6" width="17" customWidth="1"/>
    <col min="7" max="7" width="16" customWidth="1"/>
    <col min="8" max="8" width="15" customWidth="1"/>
    <col min="9" max="9" width="16" customWidth="1"/>
    <col min="10" max="10" width="14" customWidth="1"/>
    <col min="11" max="26" width="8.7109375" customWidth="1"/>
  </cols>
  <sheetData>
    <row r="1" spans="1:10" ht="24" customHeight="1" x14ac:dyDescent="0.25">
      <c r="A1" s="34" t="s">
        <v>431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3.25" customHeight="1" x14ac:dyDescent="0.25">
      <c r="A2" s="25" t="s">
        <v>109</v>
      </c>
      <c r="B2" s="25" t="s">
        <v>110</v>
      </c>
      <c r="C2" s="25" t="s">
        <v>111</v>
      </c>
      <c r="D2" s="25" t="s">
        <v>432</v>
      </c>
      <c r="E2" s="25" t="s">
        <v>433</v>
      </c>
      <c r="F2" s="25" t="s">
        <v>434</v>
      </c>
      <c r="G2" s="25" t="s">
        <v>435</v>
      </c>
      <c r="H2" s="25" t="s">
        <v>436</v>
      </c>
      <c r="I2" s="25" t="s">
        <v>437</v>
      </c>
      <c r="J2" s="25" t="s">
        <v>438</v>
      </c>
    </row>
    <row r="3" spans="1:10" ht="15" customHeight="1" x14ac:dyDescent="0.25">
      <c r="A3" s="8">
        <v>1</v>
      </c>
      <c r="B3" s="9" t="s">
        <v>119</v>
      </c>
      <c r="C3" s="8" t="s">
        <v>120</v>
      </c>
      <c r="D3" s="26"/>
      <c r="E3" s="26"/>
      <c r="F3" s="26"/>
      <c r="G3" s="26">
        <v>191.85</v>
      </c>
      <c r="H3" s="26">
        <v>27.5</v>
      </c>
      <c r="I3" s="26">
        <v>6</v>
      </c>
      <c r="J3" s="26">
        <v>2026</v>
      </c>
    </row>
    <row r="4" spans="1:10" ht="15" customHeight="1" x14ac:dyDescent="0.25">
      <c r="A4" s="8">
        <v>2</v>
      </c>
      <c r="B4" s="9" t="s">
        <v>125</v>
      </c>
      <c r="C4" s="8" t="s">
        <v>126</v>
      </c>
      <c r="D4" s="26"/>
      <c r="E4" s="26"/>
      <c r="F4" s="26"/>
      <c r="G4" s="26">
        <v>49.25</v>
      </c>
      <c r="H4" s="26">
        <v>26.35</v>
      </c>
      <c r="I4" s="26">
        <v>4</v>
      </c>
      <c r="J4" s="26">
        <v>2026</v>
      </c>
    </row>
    <row r="5" spans="1:10" ht="15" customHeight="1" x14ac:dyDescent="0.25">
      <c r="A5" s="8">
        <v>3</v>
      </c>
      <c r="B5" s="9" t="s">
        <v>128</v>
      </c>
      <c r="C5" s="8" t="s">
        <v>129</v>
      </c>
      <c r="D5" s="26"/>
      <c r="E5" s="26"/>
      <c r="F5" s="26"/>
      <c r="G5" s="26">
        <v>139.05000000000001</v>
      </c>
      <c r="H5" s="26">
        <v>27.46</v>
      </c>
      <c r="I5" s="26">
        <v>8</v>
      </c>
      <c r="J5" s="26">
        <v>2026</v>
      </c>
    </row>
    <row r="6" spans="1:10" ht="15" customHeight="1" x14ac:dyDescent="0.25">
      <c r="A6" s="8">
        <v>4</v>
      </c>
      <c r="B6" s="9" t="s">
        <v>131</v>
      </c>
      <c r="C6" s="8" t="s">
        <v>132</v>
      </c>
      <c r="D6" s="26"/>
      <c r="E6" s="26"/>
      <c r="F6" s="26"/>
      <c r="G6" s="26">
        <v>188.18</v>
      </c>
      <c r="H6" s="26">
        <v>27.23</v>
      </c>
      <c r="I6" s="26">
        <v>9</v>
      </c>
      <c r="J6" s="26">
        <v>2026</v>
      </c>
    </row>
    <row r="7" spans="1:10" ht="15" customHeight="1" x14ac:dyDescent="0.25">
      <c r="A7" s="8">
        <v>5</v>
      </c>
      <c r="B7" s="9" t="s">
        <v>134</v>
      </c>
      <c r="C7" s="8" t="s">
        <v>135</v>
      </c>
      <c r="D7" s="26"/>
      <c r="E7" s="26"/>
      <c r="F7" s="26"/>
      <c r="G7" s="26">
        <v>198.65</v>
      </c>
      <c r="H7" s="26">
        <v>26.42</v>
      </c>
      <c r="I7" s="26">
        <v>12</v>
      </c>
      <c r="J7" s="26">
        <v>2026</v>
      </c>
    </row>
    <row r="8" spans="1:10" ht="15" customHeight="1" x14ac:dyDescent="0.25">
      <c r="A8" s="8">
        <v>6</v>
      </c>
      <c r="B8" s="9" t="s">
        <v>38</v>
      </c>
      <c r="C8" s="8" t="s">
        <v>137</v>
      </c>
      <c r="D8" s="26"/>
      <c r="E8" s="26"/>
      <c r="F8" s="26"/>
      <c r="G8" s="26">
        <v>146.4</v>
      </c>
      <c r="H8" s="26">
        <v>25.92</v>
      </c>
      <c r="I8" s="26">
        <v>13</v>
      </c>
      <c r="J8" s="26">
        <v>2026</v>
      </c>
    </row>
    <row r="9" spans="1:10" ht="15" customHeight="1" x14ac:dyDescent="0.25">
      <c r="A9" s="8">
        <v>7</v>
      </c>
      <c r="B9" s="9" t="s">
        <v>138</v>
      </c>
      <c r="C9" s="8" t="s">
        <v>139</v>
      </c>
      <c r="D9" s="26"/>
      <c r="E9" s="26"/>
      <c r="F9" s="26"/>
      <c r="G9" s="26">
        <v>19.93</v>
      </c>
      <c r="H9" s="26">
        <v>28.92</v>
      </c>
      <c r="I9" s="26">
        <v>0</v>
      </c>
      <c r="J9" s="26">
        <v>2026</v>
      </c>
    </row>
    <row r="10" spans="1:10" ht="15" customHeight="1" x14ac:dyDescent="0.25">
      <c r="A10" s="8">
        <v>8</v>
      </c>
      <c r="B10" s="9" t="s">
        <v>140</v>
      </c>
      <c r="C10" s="8" t="s">
        <v>141</v>
      </c>
      <c r="D10" s="26"/>
      <c r="E10" s="26"/>
      <c r="F10" s="26"/>
      <c r="G10" s="26">
        <v>332.5</v>
      </c>
      <c r="H10" s="26">
        <v>27.81</v>
      </c>
      <c r="I10" s="26">
        <v>17</v>
      </c>
      <c r="J10" s="26">
        <v>2026</v>
      </c>
    </row>
    <row r="11" spans="1:10" ht="15" customHeight="1" x14ac:dyDescent="0.25">
      <c r="A11" s="8">
        <v>9</v>
      </c>
      <c r="B11" s="9" t="s">
        <v>142</v>
      </c>
      <c r="C11" s="8" t="s">
        <v>143</v>
      </c>
      <c r="D11" s="26"/>
      <c r="E11" s="26"/>
      <c r="F11" s="26"/>
      <c r="G11" s="26">
        <v>928.2</v>
      </c>
      <c r="H11" s="26">
        <v>28.65</v>
      </c>
      <c r="I11" s="26">
        <v>21</v>
      </c>
      <c r="J11" s="26">
        <v>2026</v>
      </c>
    </row>
    <row r="12" spans="1:10" ht="15" customHeight="1" x14ac:dyDescent="0.25">
      <c r="A12" s="8">
        <v>10</v>
      </c>
      <c r="B12" s="9" t="s">
        <v>146</v>
      </c>
      <c r="C12" s="8" t="s">
        <v>147</v>
      </c>
      <c r="D12" s="26"/>
      <c r="E12" s="26"/>
      <c r="F12" s="26"/>
      <c r="G12" s="26">
        <v>447.7</v>
      </c>
      <c r="H12" s="26">
        <v>25.92</v>
      </c>
      <c r="I12" s="26">
        <v>19</v>
      </c>
      <c r="J12" s="26">
        <v>2026</v>
      </c>
    </row>
    <row r="13" spans="1:10" ht="15" customHeight="1" x14ac:dyDescent="0.25">
      <c r="A13" s="8">
        <v>11</v>
      </c>
      <c r="B13" s="9" t="s">
        <v>148</v>
      </c>
      <c r="C13" s="8" t="s">
        <v>149</v>
      </c>
      <c r="D13" s="26"/>
      <c r="E13" s="26"/>
      <c r="F13" s="26"/>
      <c r="G13" s="26">
        <v>55.9</v>
      </c>
      <c r="H13" s="26">
        <v>27.08</v>
      </c>
      <c r="I13" s="26">
        <v>6</v>
      </c>
      <c r="J13" s="26">
        <v>2026</v>
      </c>
    </row>
    <row r="14" spans="1:10" ht="15" customHeight="1" x14ac:dyDescent="0.25">
      <c r="A14" s="8">
        <v>12</v>
      </c>
      <c r="B14" s="9" t="s">
        <v>150</v>
      </c>
      <c r="C14" s="8" t="s">
        <v>151</v>
      </c>
      <c r="D14" s="26"/>
      <c r="E14" s="26"/>
      <c r="F14" s="26"/>
      <c r="G14" s="26">
        <v>170.25</v>
      </c>
      <c r="H14" s="26">
        <v>28.73</v>
      </c>
      <c r="I14" s="26">
        <v>13</v>
      </c>
      <c r="J14" s="26">
        <v>2026</v>
      </c>
    </row>
    <row r="15" spans="1:10" ht="15" customHeight="1" x14ac:dyDescent="0.25">
      <c r="A15" s="8">
        <v>13</v>
      </c>
      <c r="B15" s="9" t="s">
        <v>152</v>
      </c>
      <c r="C15" s="8" t="s">
        <v>153</v>
      </c>
      <c r="D15" s="26"/>
      <c r="E15" s="26"/>
      <c r="F15" s="26"/>
      <c r="G15" s="26">
        <v>385.6</v>
      </c>
      <c r="H15" s="26">
        <v>26.42</v>
      </c>
      <c r="I15" s="26">
        <v>12</v>
      </c>
      <c r="J15" s="26">
        <v>2026</v>
      </c>
    </row>
    <row r="16" spans="1:10" ht="15" customHeight="1" x14ac:dyDescent="0.25">
      <c r="A16" s="8">
        <v>14</v>
      </c>
      <c r="B16" s="9" t="s">
        <v>19</v>
      </c>
      <c r="C16" s="8" t="s">
        <v>155</v>
      </c>
      <c r="D16" s="26"/>
      <c r="E16" s="26"/>
      <c r="F16" s="26"/>
      <c r="G16" s="26">
        <v>153.65</v>
      </c>
      <c r="H16" s="26">
        <v>28.54</v>
      </c>
      <c r="I16" s="26">
        <v>8</v>
      </c>
      <c r="J16" s="26">
        <v>2026</v>
      </c>
    </row>
    <row r="17" spans="1:10" ht="15" customHeight="1" x14ac:dyDescent="0.25">
      <c r="A17" s="8">
        <v>15</v>
      </c>
      <c r="B17" s="9" t="s">
        <v>156</v>
      </c>
      <c r="C17" s="8" t="s">
        <v>157</v>
      </c>
      <c r="D17" s="26"/>
      <c r="E17" s="26"/>
      <c r="F17" s="26"/>
      <c r="G17" s="26">
        <v>77.45</v>
      </c>
      <c r="H17" s="26">
        <v>26.88</v>
      </c>
      <c r="I17" s="26">
        <v>6</v>
      </c>
      <c r="J17" s="26">
        <v>2026</v>
      </c>
    </row>
    <row r="18" spans="1:10" ht="15" customHeight="1" x14ac:dyDescent="0.25">
      <c r="A18" s="8">
        <v>16</v>
      </c>
      <c r="B18" s="9" t="s">
        <v>158</v>
      </c>
      <c r="C18" s="8" t="s">
        <v>159</v>
      </c>
      <c r="D18" s="26"/>
      <c r="E18" s="26"/>
      <c r="F18" s="26"/>
      <c r="G18" s="26">
        <v>473.7</v>
      </c>
      <c r="H18" s="26">
        <v>27.23</v>
      </c>
      <c r="I18" s="26">
        <v>12</v>
      </c>
      <c r="J18" s="26">
        <v>2026</v>
      </c>
    </row>
    <row r="19" spans="1:10" ht="15" customHeight="1" x14ac:dyDescent="0.25">
      <c r="A19" s="8">
        <v>17</v>
      </c>
      <c r="B19" s="9" t="s">
        <v>160</v>
      </c>
      <c r="C19" s="8" t="s">
        <v>161</v>
      </c>
      <c r="D19" s="26"/>
      <c r="E19" s="26"/>
      <c r="F19" s="26"/>
      <c r="G19" s="26">
        <v>947</v>
      </c>
      <c r="H19" s="26">
        <v>27.54</v>
      </c>
      <c r="I19" s="26">
        <v>24</v>
      </c>
      <c r="J19" s="26">
        <v>2026</v>
      </c>
    </row>
    <row r="20" spans="1:10" ht="15" customHeight="1" x14ac:dyDescent="0.25">
      <c r="A20" s="8">
        <v>18</v>
      </c>
      <c r="B20" s="9" t="s">
        <v>163</v>
      </c>
      <c r="C20" s="8" t="s">
        <v>164</v>
      </c>
      <c r="D20" s="26"/>
      <c r="E20" s="26"/>
      <c r="F20" s="26"/>
      <c r="G20" s="26">
        <v>25.78</v>
      </c>
      <c r="H20" s="26">
        <v>27.54</v>
      </c>
      <c r="I20" s="26">
        <v>7</v>
      </c>
      <c r="J20" s="26">
        <v>2026</v>
      </c>
    </row>
    <row r="21" spans="1:10" ht="15" customHeight="1" x14ac:dyDescent="0.25">
      <c r="A21" s="8">
        <v>19</v>
      </c>
      <c r="B21" s="9" t="s">
        <v>165</v>
      </c>
      <c r="C21" s="8" t="s">
        <v>166</v>
      </c>
      <c r="D21" s="26"/>
      <c r="E21" s="26"/>
      <c r="F21" s="26"/>
      <c r="G21" s="26">
        <v>522.1</v>
      </c>
      <c r="H21" s="26">
        <v>25.35</v>
      </c>
      <c r="I21" s="26">
        <v>17</v>
      </c>
      <c r="J21" s="26">
        <v>2026</v>
      </c>
    </row>
    <row r="22" spans="1:10" ht="15" customHeight="1" x14ac:dyDescent="0.25">
      <c r="A22" s="8">
        <v>20</v>
      </c>
      <c r="B22" s="9" t="s">
        <v>29</v>
      </c>
      <c r="C22" s="8" t="s">
        <v>167</v>
      </c>
      <c r="D22" s="26"/>
      <c r="E22" s="26"/>
      <c r="F22" s="26"/>
      <c r="G22" s="26">
        <v>368.7</v>
      </c>
      <c r="H22" s="26">
        <v>25.58</v>
      </c>
      <c r="I22" s="26">
        <v>12</v>
      </c>
      <c r="J22" s="26">
        <v>2026</v>
      </c>
    </row>
    <row r="23" spans="1:10" ht="15" customHeight="1" x14ac:dyDescent="0.25">
      <c r="A23" s="8">
        <v>21</v>
      </c>
      <c r="B23" s="9" t="s">
        <v>168</v>
      </c>
      <c r="C23" s="8" t="s">
        <v>169</v>
      </c>
      <c r="D23" s="26"/>
      <c r="E23" s="26"/>
      <c r="F23" s="26"/>
      <c r="G23" s="26">
        <v>754.2</v>
      </c>
      <c r="H23" s="26">
        <v>27.27</v>
      </c>
      <c r="I23" s="26">
        <v>22</v>
      </c>
      <c r="J23" s="26">
        <v>2026</v>
      </c>
    </row>
    <row r="24" spans="1:10" ht="15" customHeight="1" x14ac:dyDescent="0.25">
      <c r="A24" s="8">
        <v>22</v>
      </c>
      <c r="B24" s="9" t="s">
        <v>171</v>
      </c>
      <c r="C24" s="8" t="s">
        <v>172</v>
      </c>
      <c r="D24" s="26"/>
      <c r="E24" s="26"/>
      <c r="F24" s="26"/>
      <c r="G24" s="26">
        <v>270.85000000000002</v>
      </c>
      <c r="H24" s="26">
        <v>27.19</v>
      </c>
      <c r="I24" s="26">
        <v>13</v>
      </c>
      <c r="J24" s="26">
        <v>2026</v>
      </c>
    </row>
    <row r="25" spans="1:10" ht="15" customHeight="1" x14ac:dyDescent="0.25">
      <c r="A25" s="8">
        <v>23</v>
      </c>
      <c r="B25" s="9" t="s">
        <v>26</v>
      </c>
      <c r="C25" s="8" t="s">
        <v>173</v>
      </c>
      <c r="D25" s="26"/>
      <c r="E25" s="26"/>
      <c r="F25" s="26"/>
      <c r="G25" s="26">
        <v>406.08</v>
      </c>
      <c r="H25" s="26">
        <v>27</v>
      </c>
      <c r="I25" s="26">
        <v>13</v>
      </c>
      <c r="J25" s="26">
        <v>2026</v>
      </c>
    </row>
    <row r="26" spans="1:10" ht="15" customHeight="1" x14ac:dyDescent="0.25">
      <c r="A26" s="8">
        <v>24</v>
      </c>
      <c r="B26" s="9" t="s">
        <v>174</v>
      </c>
      <c r="C26" s="8" t="s">
        <v>175</v>
      </c>
      <c r="D26" s="26"/>
      <c r="E26" s="26"/>
      <c r="F26" s="26"/>
      <c r="G26" s="26">
        <v>69.95</v>
      </c>
      <c r="H26" s="26">
        <v>26.15</v>
      </c>
      <c r="I26" s="26">
        <v>9</v>
      </c>
      <c r="J26" s="26">
        <v>2026</v>
      </c>
    </row>
    <row r="27" spans="1:10" ht="15" customHeight="1" x14ac:dyDescent="0.25">
      <c r="A27" s="8">
        <v>25</v>
      </c>
      <c r="B27" s="9" t="s">
        <v>176</v>
      </c>
      <c r="C27" s="8" t="s">
        <v>177</v>
      </c>
      <c r="D27" s="26"/>
      <c r="E27" s="26"/>
      <c r="F27" s="26"/>
      <c r="G27" s="26">
        <v>547.5</v>
      </c>
      <c r="H27" s="26">
        <v>27.12</v>
      </c>
      <c r="I27" s="26">
        <v>20</v>
      </c>
      <c r="J27" s="26">
        <v>2026</v>
      </c>
    </row>
    <row r="28" spans="1:10" ht="15" customHeight="1" x14ac:dyDescent="0.25">
      <c r="A28" s="8">
        <v>26</v>
      </c>
      <c r="B28" s="9" t="s">
        <v>179</v>
      </c>
      <c r="C28" s="8" t="s">
        <v>180</v>
      </c>
      <c r="D28" s="26"/>
      <c r="E28" s="26"/>
      <c r="F28" s="26"/>
      <c r="G28" s="26">
        <v>116.48</v>
      </c>
      <c r="H28" s="26">
        <v>28.69</v>
      </c>
      <c r="I28" s="26">
        <v>6</v>
      </c>
      <c r="J28" s="26">
        <v>2026</v>
      </c>
    </row>
    <row r="29" spans="1:10" ht="15" customHeight="1" x14ac:dyDescent="0.25">
      <c r="A29" s="8">
        <v>27</v>
      </c>
      <c r="B29" s="9" t="s">
        <v>181</v>
      </c>
      <c r="C29" s="8" t="s">
        <v>182</v>
      </c>
      <c r="D29" s="26"/>
      <c r="E29" s="26"/>
      <c r="F29" s="26"/>
      <c r="G29" s="26">
        <v>32.049999999999997</v>
      </c>
      <c r="H29" s="26">
        <v>29.81</v>
      </c>
      <c r="I29" s="26">
        <v>5</v>
      </c>
      <c r="J29" s="26">
        <v>2026</v>
      </c>
    </row>
    <row r="30" spans="1:10" ht="15" customHeight="1" x14ac:dyDescent="0.25">
      <c r="A30" s="8">
        <v>28</v>
      </c>
      <c r="B30" s="9" t="s">
        <v>183</v>
      </c>
      <c r="C30" s="8" t="s">
        <v>184</v>
      </c>
      <c r="D30" s="26"/>
      <c r="E30" s="26"/>
      <c r="F30" s="26"/>
      <c r="G30" s="26">
        <v>34.450000000000003</v>
      </c>
      <c r="H30" s="26">
        <v>27.62</v>
      </c>
      <c r="I30" s="26">
        <v>4</v>
      </c>
      <c r="J30" s="26">
        <v>2026</v>
      </c>
    </row>
    <row r="31" spans="1:10" ht="15" customHeight="1" x14ac:dyDescent="0.25">
      <c r="A31" s="8">
        <v>29</v>
      </c>
      <c r="B31" s="9" t="s">
        <v>186</v>
      </c>
      <c r="C31" s="8" t="s">
        <v>187</v>
      </c>
      <c r="D31" s="26"/>
      <c r="E31" s="26"/>
      <c r="F31" s="26"/>
      <c r="G31" s="26">
        <v>1220</v>
      </c>
      <c r="H31" s="26">
        <v>26.19</v>
      </c>
      <c r="I31" s="26">
        <v>24</v>
      </c>
      <c r="J31" s="26">
        <v>2026</v>
      </c>
    </row>
    <row r="32" spans="1:10" ht="15" customHeight="1" x14ac:dyDescent="0.25">
      <c r="A32" s="8">
        <v>30</v>
      </c>
      <c r="B32" s="9" t="s">
        <v>189</v>
      </c>
      <c r="C32" s="8" t="s">
        <v>190</v>
      </c>
      <c r="D32" s="26"/>
      <c r="E32" s="26"/>
      <c r="F32" s="26"/>
      <c r="G32" s="26">
        <v>49.25</v>
      </c>
      <c r="H32" s="26">
        <v>29.23</v>
      </c>
      <c r="I32" s="26">
        <v>8</v>
      </c>
      <c r="J32" s="26">
        <v>2026</v>
      </c>
    </row>
    <row r="33" spans="1:10" ht="15" customHeight="1" x14ac:dyDescent="0.25">
      <c r="A33" s="8">
        <v>31</v>
      </c>
      <c r="B33" s="9" t="s">
        <v>191</v>
      </c>
      <c r="C33" s="8" t="s">
        <v>192</v>
      </c>
      <c r="D33" s="26"/>
      <c r="E33" s="26"/>
      <c r="F33" s="26"/>
      <c r="G33" s="26">
        <v>40.68</v>
      </c>
      <c r="H33" s="26">
        <v>27.96</v>
      </c>
      <c r="I33" s="26">
        <v>0</v>
      </c>
      <c r="J33" s="26">
        <v>2026</v>
      </c>
    </row>
    <row r="34" spans="1:10" ht="15" customHeight="1" x14ac:dyDescent="0.25">
      <c r="A34" s="8">
        <v>32</v>
      </c>
      <c r="B34" s="9" t="s">
        <v>193</v>
      </c>
      <c r="C34" s="8" t="s">
        <v>194</v>
      </c>
      <c r="D34" s="26"/>
      <c r="E34" s="26"/>
      <c r="F34" s="26"/>
      <c r="G34" s="26">
        <v>359.3</v>
      </c>
      <c r="H34" s="26">
        <v>28.19</v>
      </c>
      <c r="I34" s="26">
        <v>16</v>
      </c>
      <c r="J34" s="26">
        <v>2026</v>
      </c>
    </row>
    <row r="35" spans="1:10" ht="15" customHeight="1" x14ac:dyDescent="0.25">
      <c r="A35" s="8">
        <v>33</v>
      </c>
      <c r="B35" s="9" t="s">
        <v>195</v>
      </c>
      <c r="C35" s="8" t="s">
        <v>196</v>
      </c>
      <c r="D35" s="26"/>
      <c r="E35" s="26"/>
      <c r="F35" s="26"/>
      <c r="G35" s="26">
        <v>1520</v>
      </c>
      <c r="H35" s="26">
        <v>26.58</v>
      </c>
      <c r="I35" s="26">
        <v>25</v>
      </c>
      <c r="J35" s="26">
        <v>2026</v>
      </c>
    </row>
    <row r="36" spans="1:10" ht="15" customHeight="1" x14ac:dyDescent="0.25">
      <c r="A36" s="8">
        <v>34</v>
      </c>
      <c r="B36" s="9" t="s">
        <v>35</v>
      </c>
      <c r="C36" s="8" t="s">
        <v>198</v>
      </c>
      <c r="D36" s="26"/>
      <c r="E36" s="26"/>
      <c r="F36" s="26"/>
      <c r="G36" s="26">
        <v>478.1</v>
      </c>
      <c r="H36" s="26">
        <v>26.62</v>
      </c>
      <c r="I36" s="26">
        <v>19</v>
      </c>
      <c r="J36" s="26">
        <v>2026</v>
      </c>
    </row>
    <row r="37" spans="1:10" ht="15" customHeight="1" x14ac:dyDescent="0.25">
      <c r="A37" s="8">
        <v>35</v>
      </c>
      <c r="B37" s="9" t="s">
        <v>199</v>
      </c>
      <c r="C37" s="8" t="s">
        <v>200</v>
      </c>
      <c r="D37" s="26"/>
      <c r="E37" s="26"/>
      <c r="F37" s="26"/>
      <c r="G37" s="26">
        <v>21.2</v>
      </c>
      <c r="H37" s="26">
        <v>26.65</v>
      </c>
      <c r="I37" s="26">
        <v>2</v>
      </c>
      <c r="J37" s="26">
        <v>2026</v>
      </c>
    </row>
    <row r="38" spans="1:10" ht="15" customHeight="1" x14ac:dyDescent="0.25">
      <c r="A38" s="8">
        <v>36</v>
      </c>
      <c r="B38" s="9" t="s">
        <v>201</v>
      </c>
      <c r="C38" s="8" t="s">
        <v>202</v>
      </c>
      <c r="D38" s="26"/>
      <c r="E38" s="26"/>
      <c r="F38" s="26"/>
      <c r="G38" s="26">
        <v>589.9</v>
      </c>
      <c r="H38" s="26">
        <v>26.35</v>
      </c>
      <c r="I38" s="26">
        <v>15</v>
      </c>
      <c r="J38" s="26">
        <v>2026</v>
      </c>
    </row>
    <row r="39" spans="1:10" ht="15" customHeight="1" x14ac:dyDescent="0.25">
      <c r="A39" s="8">
        <v>37</v>
      </c>
      <c r="B39" s="9" t="s">
        <v>203</v>
      </c>
      <c r="C39" s="8" t="s">
        <v>204</v>
      </c>
      <c r="D39" s="26"/>
      <c r="E39" s="26"/>
      <c r="F39" s="26"/>
      <c r="G39" s="26">
        <v>807.5</v>
      </c>
      <c r="H39" s="26">
        <v>28.62</v>
      </c>
      <c r="I39" s="26">
        <v>20</v>
      </c>
      <c r="J39" s="26">
        <v>2026</v>
      </c>
    </row>
    <row r="40" spans="1:10" ht="15" customHeight="1" x14ac:dyDescent="0.25">
      <c r="A40" s="8">
        <v>38</v>
      </c>
      <c r="B40" s="9" t="s">
        <v>45</v>
      </c>
      <c r="C40" s="8" t="s">
        <v>206</v>
      </c>
      <c r="D40" s="26"/>
      <c r="E40" s="26"/>
      <c r="F40" s="26"/>
      <c r="G40" s="26">
        <v>256.89999999999998</v>
      </c>
      <c r="H40" s="26">
        <v>26.46</v>
      </c>
      <c r="I40" s="26">
        <v>17</v>
      </c>
      <c r="J40" s="26">
        <v>2026</v>
      </c>
    </row>
    <row r="41" spans="1:10" ht="15" customHeight="1" x14ac:dyDescent="0.25">
      <c r="A41" s="8">
        <v>39</v>
      </c>
      <c r="B41" s="9" t="s">
        <v>207</v>
      </c>
      <c r="C41" s="8" t="s">
        <v>208</v>
      </c>
      <c r="D41" s="26"/>
      <c r="E41" s="26"/>
      <c r="F41" s="26"/>
      <c r="G41" s="26">
        <v>245.2</v>
      </c>
      <c r="H41" s="26">
        <v>28.12</v>
      </c>
      <c r="I41" s="26">
        <v>17</v>
      </c>
      <c r="J41" s="26">
        <v>2026</v>
      </c>
    </row>
    <row r="42" spans="1:10" ht="15" customHeight="1" x14ac:dyDescent="0.25">
      <c r="A42" s="8">
        <v>40</v>
      </c>
      <c r="B42" s="9" t="s">
        <v>209</v>
      </c>
      <c r="C42" s="8" t="s">
        <v>210</v>
      </c>
      <c r="D42" s="26"/>
      <c r="E42" s="26"/>
      <c r="F42" s="26"/>
      <c r="G42" s="26">
        <v>20.3</v>
      </c>
      <c r="H42" s="26">
        <v>28.08</v>
      </c>
      <c r="I42" s="26">
        <v>1</v>
      </c>
      <c r="J42" s="26">
        <v>2026</v>
      </c>
    </row>
    <row r="43" spans="1:10" ht="15" customHeight="1" x14ac:dyDescent="0.25">
      <c r="A43" s="8">
        <v>41</v>
      </c>
      <c r="B43" s="9" t="s">
        <v>211</v>
      </c>
      <c r="C43" s="8" t="s">
        <v>212</v>
      </c>
      <c r="D43" s="26"/>
      <c r="E43" s="26"/>
      <c r="F43" s="26"/>
      <c r="G43" s="26">
        <v>1010</v>
      </c>
      <c r="H43" s="26">
        <v>27.54</v>
      </c>
      <c r="I43" s="26">
        <v>22</v>
      </c>
      <c r="J43" s="26">
        <v>2026</v>
      </c>
    </row>
    <row r="44" spans="1:10" ht="15" customHeight="1" x14ac:dyDescent="0.25">
      <c r="A44" s="8">
        <v>42</v>
      </c>
      <c r="B44" s="9" t="s">
        <v>32</v>
      </c>
      <c r="C44" s="8" t="s">
        <v>214</v>
      </c>
      <c r="D44" s="26"/>
      <c r="E44" s="26"/>
      <c r="F44" s="26"/>
      <c r="G44" s="26">
        <v>143.9</v>
      </c>
      <c r="H44" s="26">
        <v>28.5</v>
      </c>
      <c r="I44" s="26">
        <v>13</v>
      </c>
      <c r="J44" s="26">
        <v>2026</v>
      </c>
    </row>
    <row r="45" spans="1:10" ht="15" customHeight="1" x14ac:dyDescent="0.25">
      <c r="A45" s="8">
        <v>43</v>
      </c>
      <c r="B45" s="9" t="s">
        <v>215</v>
      </c>
      <c r="C45" s="8" t="s">
        <v>216</v>
      </c>
      <c r="D45" s="26"/>
      <c r="E45" s="26"/>
      <c r="F45" s="26"/>
      <c r="G45" s="26">
        <v>85.33</v>
      </c>
      <c r="H45" s="26">
        <v>27.96</v>
      </c>
      <c r="I45" s="26">
        <v>2</v>
      </c>
      <c r="J45" s="26">
        <v>2026</v>
      </c>
    </row>
    <row r="46" spans="1:10" ht="15" customHeight="1" x14ac:dyDescent="0.25">
      <c r="A46" s="8">
        <v>44</v>
      </c>
      <c r="B46" s="9" t="s">
        <v>217</v>
      </c>
      <c r="C46" s="8" t="s">
        <v>218</v>
      </c>
      <c r="D46" s="26"/>
      <c r="E46" s="26"/>
      <c r="F46" s="26"/>
      <c r="G46" s="26">
        <v>302.35000000000002</v>
      </c>
      <c r="H46" s="26">
        <v>29.58</v>
      </c>
      <c r="I46" s="26">
        <v>15</v>
      </c>
      <c r="J46" s="26">
        <v>2026</v>
      </c>
    </row>
    <row r="47" spans="1:10" ht="15" customHeight="1" x14ac:dyDescent="0.25">
      <c r="A47" s="8">
        <v>45</v>
      </c>
      <c r="B47" s="9" t="s">
        <v>219</v>
      </c>
      <c r="C47" s="8" t="s">
        <v>220</v>
      </c>
      <c r="D47" s="26"/>
      <c r="E47" s="26"/>
      <c r="F47" s="26"/>
      <c r="G47" s="26">
        <v>1360</v>
      </c>
      <c r="H47" s="26">
        <v>26.62</v>
      </c>
      <c r="I47" s="26">
        <v>26</v>
      </c>
      <c r="J47" s="26">
        <v>2026</v>
      </c>
    </row>
    <row r="48" spans="1:10" ht="15" customHeight="1" x14ac:dyDescent="0.25">
      <c r="A48" s="8">
        <v>46</v>
      </c>
      <c r="B48" s="9" t="s">
        <v>222</v>
      </c>
      <c r="C48" s="8" t="s">
        <v>223</v>
      </c>
      <c r="D48" s="26"/>
      <c r="E48" s="26"/>
      <c r="F48" s="26"/>
      <c r="G48" s="26">
        <v>387.3</v>
      </c>
      <c r="H48" s="26">
        <v>27.88</v>
      </c>
      <c r="I48" s="26">
        <v>19</v>
      </c>
      <c r="J48" s="26">
        <v>2026</v>
      </c>
    </row>
    <row r="49" spans="1:10" ht="15" customHeight="1" x14ac:dyDescent="0.25">
      <c r="A49" s="8">
        <v>47</v>
      </c>
      <c r="B49" s="9" t="s">
        <v>52</v>
      </c>
      <c r="C49" s="8" t="s">
        <v>224</v>
      </c>
      <c r="D49" s="26"/>
      <c r="E49" s="26"/>
      <c r="F49" s="26"/>
      <c r="G49" s="26">
        <v>234.5</v>
      </c>
      <c r="H49" s="26">
        <v>26.42</v>
      </c>
      <c r="I49" s="26">
        <v>15</v>
      </c>
      <c r="J49" s="26">
        <v>2026</v>
      </c>
    </row>
    <row r="50" spans="1:10" ht="15" customHeight="1" x14ac:dyDescent="0.25">
      <c r="A50" s="8">
        <v>48</v>
      </c>
      <c r="B50" s="9" t="s">
        <v>225</v>
      </c>
      <c r="C50" s="8" t="s">
        <v>226</v>
      </c>
      <c r="D50" s="26"/>
      <c r="E50" s="26"/>
      <c r="F50" s="26"/>
      <c r="G50" s="26">
        <v>34.549999999999997</v>
      </c>
      <c r="H50" s="26">
        <v>30</v>
      </c>
      <c r="I50" s="26">
        <v>3</v>
      </c>
      <c r="J50" s="26">
        <v>2026</v>
      </c>
    </row>
    <row r="51" spans="1:10" ht="15.75" customHeight="1" x14ac:dyDescent="0.25"/>
    <row r="52" spans="1:10" ht="15" customHeight="1" x14ac:dyDescent="0.25">
      <c r="B52" s="32" t="s">
        <v>439</v>
      </c>
      <c r="C52" s="33"/>
      <c r="D52" s="33"/>
      <c r="E52" s="33"/>
      <c r="F52" s="33"/>
      <c r="G52" s="33"/>
      <c r="H52" s="33"/>
      <c r="I52" s="33"/>
      <c r="J52" s="33"/>
    </row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J1"/>
    <mergeCell ref="B52:J52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showGridLines="0" workbookViewId="0">
      <pane ySplit="2" topLeftCell="A45" activePane="bottomLeft" state="frozen"/>
      <selection pane="bottomLeft" activeCell="I70" sqref="I70"/>
    </sheetView>
  </sheetViews>
  <sheetFormatPr baseColWidth="10" defaultColWidth="14.42578125" defaultRowHeight="15" customHeight="1" x14ac:dyDescent="0.25"/>
  <cols>
    <col min="1" max="1" width="6" customWidth="1"/>
    <col min="2" max="2" width="7" customWidth="1"/>
    <col min="3" max="3" width="9" customWidth="1"/>
    <col min="4" max="5" width="22" customWidth="1"/>
    <col min="6" max="8" width="9" customWidth="1"/>
    <col min="9" max="10" width="8" customWidth="1"/>
    <col min="11" max="26" width="8.7109375" customWidth="1"/>
  </cols>
  <sheetData>
    <row r="1" spans="1:11" ht="24" customHeight="1" x14ac:dyDescent="0.25">
      <c r="A1" s="34" t="s">
        <v>440</v>
      </c>
      <c r="B1" s="33"/>
      <c r="C1" s="33"/>
      <c r="D1" s="33"/>
      <c r="E1" s="33"/>
      <c r="F1" s="33"/>
      <c r="G1" s="33"/>
      <c r="H1" s="33"/>
      <c r="I1" s="33"/>
      <c r="J1" s="33"/>
    </row>
    <row r="2" spans="1:11" ht="15" customHeight="1" x14ac:dyDescent="0.25">
      <c r="A2" s="7" t="s">
        <v>441</v>
      </c>
      <c r="B2" s="7" t="s">
        <v>112</v>
      </c>
      <c r="C2" s="7" t="s">
        <v>442</v>
      </c>
      <c r="D2" s="7" t="s">
        <v>443</v>
      </c>
      <c r="E2" s="7" t="s">
        <v>444</v>
      </c>
      <c r="F2" s="7" t="s">
        <v>445</v>
      </c>
      <c r="G2" s="7" t="s">
        <v>446</v>
      </c>
      <c r="H2" s="7" t="s">
        <v>447</v>
      </c>
      <c r="I2" s="7" t="s">
        <v>448</v>
      </c>
      <c r="J2" s="7" t="s">
        <v>449</v>
      </c>
      <c r="K2" s="27" t="s">
        <v>8</v>
      </c>
    </row>
    <row r="3" spans="1:11" ht="15" customHeight="1" x14ac:dyDescent="0.25">
      <c r="A3" s="8">
        <v>1</v>
      </c>
      <c r="B3" s="8" t="s">
        <v>121</v>
      </c>
      <c r="C3" s="8">
        <v>1</v>
      </c>
      <c r="D3" s="9" t="s">
        <v>119</v>
      </c>
      <c r="E3" s="9" t="s">
        <v>125</v>
      </c>
      <c r="F3" s="26">
        <v>2</v>
      </c>
      <c r="G3" s="26">
        <v>0</v>
      </c>
      <c r="H3" s="8">
        <f t="shared" ref="H3:H34" si="0">IF(AND(ISNUMBER(F3),ISNUMBER(G3)),1,0)</f>
        <v>1</v>
      </c>
      <c r="I3" s="8">
        <f t="shared" ref="I3:I34" si="1">IF(H3=1,IF(F3&gt;G3,3,IF(F3=G3,1,0)),"")</f>
        <v>3</v>
      </c>
      <c r="J3" s="8">
        <f t="shared" ref="J3:J34" si="2">IF(H3=1,IF(G3&gt;F3,3,IF(F3=G3,1,0)),"")</f>
        <v>0</v>
      </c>
    </row>
    <row r="4" spans="1:11" ht="15" customHeight="1" x14ac:dyDescent="0.25">
      <c r="A4" s="11">
        <v>2</v>
      </c>
      <c r="B4" s="11" t="s">
        <v>121</v>
      </c>
      <c r="C4" s="11">
        <v>1</v>
      </c>
      <c r="D4" s="12" t="s">
        <v>128</v>
      </c>
      <c r="E4" s="12" t="s">
        <v>131</v>
      </c>
      <c r="F4" s="28">
        <v>2</v>
      </c>
      <c r="G4" s="28">
        <v>1</v>
      </c>
      <c r="H4" s="11">
        <f t="shared" si="0"/>
        <v>1</v>
      </c>
      <c r="I4" s="11">
        <f t="shared" si="1"/>
        <v>3</v>
      </c>
      <c r="J4" s="11">
        <f t="shared" si="2"/>
        <v>0</v>
      </c>
    </row>
    <row r="5" spans="1:11" ht="15" customHeight="1" x14ac:dyDescent="0.25">
      <c r="A5" s="8">
        <v>3</v>
      </c>
      <c r="B5" s="8" t="s">
        <v>121</v>
      </c>
      <c r="C5" s="8">
        <v>2</v>
      </c>
      <c r="D5" s="9" t="s">
        <v>119</v>
      </c>
      <c r="E5" s="9" t="s">
        <v>128</v>
      </c>
      <c r="F5" s="26">
        <v>1</v>
      </c>
      <c r="G5" s="26">
        <v>0</v>
      </c>
      <c r="H5" s="8">
        <f t="shared" si="0"/>
        <v>1</v>
      </c>
      <c r="I5" s="8">
        <f t="shared" si="1"/>
        <v>3</v>
      </c>
      <c r="J5" s="8">
        <f t="shared" si="2"/>
        <v>0</v>
      </c>
    </row>
    <row r="6" spans="1:11" ht="15" customHeight="1" x14ac:dyDescent="0.25">
      <c r="A6" s="11">
        <v>4</v>
      </c>
      <c r="B6" s="11" t="s">
        <v>121</v>
      </c>
      <c r="C6" s="11">
        <v>2</v>
      </c>
      <c r="D6" s="12" t="s">
        <v>125</v>
      </c>
      <c r="E6" s="12" t="s">
        <v>131</v>
      </c>
      <c r="F6" s="28">
        <v>1</v>
      </c>
      <c r="G6" s="28">
        <v>1</v>
      </c>
      <c r="H6" s="11">
        <f t="shared" si="0"/>
        <v>1</v>
      </c>
      <c r="I6" s="11">
        <f t="shared" si="1"/>
        <v>1</v>
      </c>
      <c r="J6" s="11">
        <f t="shared" si="2"/>
        <v>1</v>
      </c>
    </row>
    <row r="7" spans="1:11" ht="15" customHeight="1" x14ac:dyDescent="0.25">
      <c r="A7" s="8">
        <v>5</v>
      </c>
      <c r="B7" s="8" t="s">
        <v>121</v>
      </c>
      <c r="C7" s="8">
        <v>3</v>
      </c>
      <c r="D7" s="9" t="s">
        <v>119</v>
      </c>
      <c r="E7" s="9" t="s">
        <v>131</v>
      </c>
      <c r="F7" s="26">
        <v>3</v>
      </c>
      <c r="G7" s="26">
        <v>0</v>
      </c>
      <c r="H7" s="8">
        <f t="shared" si="0"/>
        <v>1</v>
      </c>
      <c r="I7" s="8">
        <f t="shared" si="1"/>
        <v>3</v>
      </c>
      <c r="J7" s="8">
        <f t="shared" si="2"/>
        <v>0</v>
      </c>
    </row>
    <row r="8" spans="1:11" ht="15" customHeight="1" x14ac:dyDescent="0.25">
      <c r="A8" s="11">
        <v>6</v>
      </c>
      <c r="B8" s="11" t="s">
        <v>121</v>
      </c>
      <c r="C8" s="11">
        <v>3</v>
      </c>
      <c r="D8" s="12" t="s">
        <v>125</v>
      </c>
      <c r="E8" s="12" t="s">
        <v>128</v>
      </c>
      <c r="F8" s="28">
        <v>1</v>
      </c>
      <c r="G8" s="28">
        <v>0</v>
      </c>
      <c r="H8" s="11">
        <f t="shared" si="0"/>
        <v>1</v>
      </c>
      <c r="I8" s="11">
        <f t="shared" si="1"/>
        <v>3</v>
      </c>
      <c r="J8" s="11">
        <f t="shared" si="2"/>
        <v>0</v>
      </c>
    </row>
    <row r="9" spans="1:11" ht="15" customHeight="1" x14ac:dyDescent="0.25">
      <c r="A9" s="8">
        <v>7</v>
      </c>
      <c r="B9" s="8" t="s">
        <v>136</v>
      </c>
      <c r="C9" s="8">
        <v>1</v>
      </c>
      <c r="D9" s="9" t="s">
        <v>134</v>
      </c>
      <c r="E9" s="9" t="s">
        <v>38</v>
      </c>
      <c r="F9" s="26">
        <v>1</v>
      </c>
      <c r="G9" s="26">
        <v>1</v>
      </c>
      <c r="H9" s="8">
        <f t="shared" si="0"/>
        <v>1</v>
      </c>
      <c r="I9" s="8">
        <f t="shared" si="1"/>
        <v>1</v>
      </c>
      <c r="J9" s="8">
        <f t="shared" si="2"/>
        <v>1</v>
      </c>
    </row>
    <row r="10" spans="1:11" ht="15" customHeight="1" x14ac:dyDescent="0.25">
      <c r="A10" s="11">
        <v>8</v>
      </c>
      <c r="B10" s="11" t="s">
        <v>136</v>
      </c>
      <c r="C10" s="11">
        <v>1</v>
      </c>
      <c r="D10" s="12" t="s">
        <v>138</v>
      </c>
      <c r="E10" s="12" t="s">
        <v>140</v>
      </c>
      <c r="F10" s="28">
        <v>1</v>
      </c>
      <c r="G10" s="28">
        <v>1</v>
      </c>
      <c r="H10" s="11">
        <f t="shared" si="0"/>
        <v>1</v>
      </c>
      <c r="I10" s="11">
        <f t="shared" si="1"/>
        <v>1</v>
      </c>
      <c r="J10" s="11">
        <f t="shared" si="2"/>
        <v>1</v>
      </c>
    </row>
    <row r="11" spans="1:11" ht="15" customHeight="1" x14ac:dyDescent="0.25">
      <c r="A11" s="8">
        <v>9</v>
      </c>
      <c r="B11" s="8" t="s">
        <v>136</v>
      </c>
      <c r="C11" s="8">
        <v>2</v>
      </c>
      <c r="D11" s="9" t="s">
        <v>134</v>
      </c>
      <c r="E11" s="9" t="s">
        <v>138</v>
      </c>
      <c r="F11" s="26">
        <v>6</v>
      </c>
      <c r="G11" s="26">
        <v>0</v>
      </c>
      <c r="H11" s="8">
        <f t="shared" si="0"/>
        <v>1</v>
      </c>
      <c r="I11" s="8">
        <f t="shared" si="1"/>
        <v>3</v>
      </c>
      <c r="J11" s="8">
        <f t="shared" si="2"/>
        <v>0</v>
      </c>
    </row>
    <row r="12" spans="1:11" ht="15" customHeight="1" x14ac:dyDescent="0.25">
      <c r="A12" s="11">
        <v>10</v>
      </c>
      <c r="B12" s="11" t="s">
        <v>136</v>
      </c>
      <c r="C12" s="11">
        <v>2</v>
      </c>
      <c r="D12" s="12" t="s">
        <v>38</v>
      </c>
      <c r="E12" s="12" t="s">
        <v>140</v>
      </c>
      <c r="F12" s="28">
        <v>1</v>
      </c>
      <c r="G12" s="28">
        <v>4</v>
      </c>
      <c r="H12" s="11">
        <f t="shared" si="0"/>
        <v>1</v>
      </c>
      <c r="I12" s="11">
        <f t="shared" si="1"/>
        <v>0</v>
      </c>
      <c r="J12" s="11">
        <f t="shared" si="2"/>
        <v>3</v>
      </c>
    </row>
    <row r="13" spans="1:11" ht="15" customHeight="1" x14ac:dyDescent="0.25">
      <c r="A13" s="8">
        <v>11</v>
      </c>
      <c r="B13" s="8" t="s">
        <v>136</v>
      </c>
      <c r="C13" s="8">
        <v>3</v>
      </c>
      <c r="D13" s="9" t="s">
        <v>134</v>
      </c>
      <c r="E13" s="9" t="s">
        <v>140</v>
      </c>
      <c r="F13" s="26">
        <v>1</v>
      </c>
      <c r="G13" s="26">
        <v>2</v>
      </c>
      <c r="H13" s="8">
        <f t="shared" si="0"/>
        <v>1</v>
      </c>
      <c r="I13" s="8">
        <f t="shared" si="1"/>
        <v>0</v>
      </c>
      <c r="J13" s="8">
        <f t="shared" si="2"/>
        <v>3</v>
      </c>
    </row>
    <row r="14" spans="1:11" ht="15" customHeight="1" x14ac:dyDescent="0.25">
      <c r="A14" s="11">
        <v>12</v>
      </c>
      <c r="B14" s="11" t="s">
        <v>136</v>
      </c>
      <c r="C14" s="11">
        <v>3</v>
      </c>
      <c r="D14" s="12" t="s">
        <v>38</v>
      </c>
      <c r="E14" s="12" t="s">
        <v>138</v>
      </c>
      <c r="F14" s="28">
        <v>3</v>
      </c>
      <c r="G14" s="28">
        <v>1</v>
      </c>
      <c r="H14" s="11">
        <f t="shared" si="0"/>
        <v>1</v>
      </c>
      <c r="I14" s="11">
        <f t="shared" si="1"/>
        <v>3</v>
      </c>
      <c r="J14" s="11">
        <f t="shared" si="2"/>
        <v>0</v>
      </c>
    </row>
    <row r="15" spans="1:11" ht="15" customHeight="1" x14ac:dyDescent="0.25">
      <c r="A15" s="8">
        <v>13</v>
      </c>
      <c r="B15" s="8" t="s">
        <v>144</v>
      </c>
      <c r="C15" s="8">
        <v>1</v>
      </c>
      <c r="D15" s="9" t="s">
        <v>142</v>
      </c>
      <c r="E15" s="9" t="s">
        <v>146</v>
      </c>
      <c r="F15" s="26">
        <v>1</v>
      </c>
      <c r="G15" s="26">
        <v>1</v>
      </c>
      <c r="H15" s="8">
        <f t="shared" si="0"/>
        <v>1</v>
      </c>
      <c r="I15" s="8">
        <f t="shared" si="1"/>
        <v>1</v>
      </c>
      <c r="J15" s="8">
        <f t="shared" si="2"/>
        <v>1</v>
      </c>
    </row>
    <row r="16" spans="1:11" ht="15" customHeight="1" x14ac:dyDescent="0.25">
      <c r="A16" s="11">
        <v>14</v>
      </c>
      <c r="B16" s="11" t="s">
        <v>144</v>
      </c>
      <c r="C16" s="11">
        <v>1</v>
      </c>
      <c r="D16" s="12" t="s">
        <v>148</v>
      </c>
      <c r="E16" s="12" t="s">
        <v>150</v>
      </c>
      <c r="F16" s="28">
        <v>0</v>
      </c>
      <c r="G16" s="28">
        <v>1</v>
      </c>
      <c r="H16" s="11">
        <f t="shared" si="0"/>
        <v>1</v>
      </c>
      <c r="I16" s="11">
        <f t="shared" si="1"/>
        <v>0</v>
      </c>
      <c r="J16" s="11">
        <f t="shared" si="2"/>
        <v>3</v>
      </c>
    </row>
    <row r="17" spans="1:10" ht="15" customHeight="1" x14ac:dyDescent="0.25">
      <c r="A17" s="8">
        <v>15</v>
      </c>
      <c r="B17" s="8" t="s">
        <v>144</v>
      </c>
      <c r="C17" s="8">
        <v>2</v>
      </c>
      <c r="D17" s="9" t="s">
        <v>142</v>
      </c>
      <c r="E17" s="9" t="s">
        <v>148</v>
      </c>
      <c r="F17" s="26">
        <v>3</v>
      </c>
      <c r="G17" s="26">
        <v>0</v>
      </c>
      <c r="H17" s="8">
        <f t="shared" si="0"/>
        <v>1</v>
      </c>
      <c r="I17" s="8">
        <f t="shared" si="1"/>
        <v>3</v>
      </c>
      <c r="J17" s="8">
        <f t="shared" si="2"/>
        <v>0</v>
      </c>
    </row>
    <row r="18" spans="1:10" ht="15" customHeight="1" x14ac:dyDescent="0.25">
      <c r="A18" s="11">
        <v>16</v>
      </c>
      <c r="B18" s="11" t="s">
        <v>144</v>
      </c>
      <c r="C18" s="11">
        <v>2</v>
      </c>
      <c r="D18" s="12" t="s">
        <v>146</v>
      </c>
      <c r="E18" s="12" t="s">
        <v>150</v>
      </c>
      <c r="F18" s="28">
        <v>1</v>
      </c>
      <c r="G18" s="28">
        <v>0</v>
      </c>
      <c r="H18" s="11">
        <f t="shared" si="0"/>
        <v>1</v>
      </c>
      <c r="I18" s="11">
        <f t="shared" si="1"/>
        <v>3</v>
      </c>
      <c r="J18" s="11">
        <f t="shared" si="2"/>
        <v>0</v>
      </c>
    </row>
    <row r="19" spans="1:10" ht="15" customHeight="1" x14ac:dyDescent="0.25">
      <c r="A19" s="8">
        <v>17</v>
      </c>
      <c r="B19" s="8" t="s">
        <v>144</v>
      </c>
      <c r="C19" s="8">
        <v>3</v>
      </c>
      <c r="D19" s="9" t="s">
        <v>142</v>
      </c>
      <c r="E19" s="9" t="s">
        <v>150</v>
      </c>
      <c r="F19" s="26">
        <v>3</v>
      </c>
      <c r="G19" s="26">
        <v>0</v>
      </c>
      <c r="H19" s="8">
        <f t="shared" si="0"/>
        <v>1</v>
      </c>
      <c r="I19" s="8">
        <f t="shared" si="1"/>
        <v>3</v>
      </c>
      <c r="J19" s="8">
        <f t="shared" si="2"/>
        <v>0</v>
      </c>
    </row>
    <row r="20" spans="1:10" ht="15" customHeight="1" x14ac:dyDescent="0.25">
      <c r="A20" s="11">
        <v>18</v>
      </c>
      <c r="B20" s="11" t="s">
        <v>144</v>
      </c>
      <c r="C20" s="11">
        <v>3</v>
      </c>
      <c r="D20" s="12" t="s">
        <v>146</v>
      </c>
      <c r="E20" s="12" t="s">
        <v>148</v>
      </c>
      <c r="F20" s="28">
        <v>4</v>
      </c>
      <c r="G20" s="28">
        <v>2</v>
      </c>
      <c r="H20" s="11">
        <f t="shared" si="0"/>
        <v>1</v>
      </c>
      <c r="I20" s="11">
        <f t="shared" si="1"/>
        <v>3</v>
      </c>
      <c r="J20" s="11">
        <f t="shared" si="2"/>
        <v>0</v>
      </c>
    </row>
    <row r="21" spans="1:10" ht="15" customHeight="1" x14ac:dyDescent="0.25">
      <c r="A21" s="8">
        <v>19</v>
      </c>
      <c r="B21" s="8" t="s">
        <v>154</v>
      </c>
      <c r="C21" s="8">
        <v>1</v>
      </c>
      <c r="D21" s="9" t="s">
        <v>152</v>
      </c>
      <c r="E21" s="9" t="s">
        <v>19</v>
      </c>
      <c r="F21" s="26">
        <v>4</v>
      </c>
      <c r="G21" s="26">
        <v>1</v>
      </c>
      <c r="H21" s="8">
        <f t="shared" si="0"/>
        <v>1</v>
      </c>
      <c r="I21" s="8">
        <f t="shared" si="1"/>
        <v>3</v>
      </c>
      <c r="J21" s="8">
        <f t="shared" si="2"/>
        <v>0</v>
      </c>
    </row>
    <row r="22" spans="1:10" ht="15" customHeight="1" x14ac:dyDescent="0.25">
      <c r="A22" s="11">
        <v>20</v>
      </c>
      <c r="B22" s="11" t="s">
        <v>154</v>
      </c>
      <c r="C22" s="11">
        <v>1</v>
      </c>
      <c r="D22" s="12" t="s">
        <v>156</v>
      </c>
      <c r="E22" s="12" t="s">
        <v>158</v>
      </c>
      <c r="F22" s="28">
        <v>2</v>
      </c>
      <c r="G22" s="28">
        <v>0</v>
      </c>
      <c r="H22" s="11">
        <f t="shared" si="0"/>
        <v>1</v>
      </c>
      <c r="I22" s="11">
        <f t="shared" si="1"/>
        <v>3</v>
      </c>
      <c r="J22" s="11">
        <f t="shared" si="2"/>
        <v>0</v>
      </c>
    </row>
    <row r="23" spans="1:10" ht="15" customHeight="1" x14ac:dyDescent="0.25">
      <c r="A23" s="8">
        <v>21</v>
      </c>
      <c r="B23" s="8" t="s">
        <v>154</v>
      </c>
      <c r="C23" s="8">
        <v>2</v>
      </c>
      <c r="D23" s="9" t="s">
        <v>152</v>
      </c>
      <c r="E23" s="9" t="s">
        <v>156</v>
      </c>
      <c r="F23" s="26">
        <v>2</v>
      </c>
      <c r="G23" s="26">
        <v>0</v>
      </c>
      <c r="H23" s="8">
        <f t="shared" si="0"/>
        <v>1</v>
      </c>
      <c r="I23" s="8">
        <f t="shared" si="1"/>
        <v>3</v>
      </c>
      <c r="J23" s="8">
        <f t="shared" si="2"/>
        <v>0</v>
      </c>
    </row>
    <row r="24" spans="1:10" ht="15" customHeight="1" x14ac:dyDescent="0.25">
      <c r="A24" s="11">
        <v>22</v>
      </c>
      <c r="B24" s="11" t="s">
        <v>154</v>
      </c>
      <c r="C24" s="11">
        <v>2</v>
      </c>
      <c r="D24" s="12" t="s">
        <v>19</v>
      </c>
      <c r="E24" s="12" t="s">
        <v>158</v>
      </c>
      <c r="F24" s="28">
        <v>1</v>
      </c>
      <c r="G24" s="28">
        <v>0</v>
      </c>
      <c r="H24" s="11">
        <f t="shared" si="0"/>
        <v>1</v>
      </c>
      <c r="I24" s="11">
        <f t="shared" si="1"/>
        <v>3</v>
      </c>
      <c r="J24" s="11">
        <f t="shared" si="2"/>
        <v>0</v>
      </c>
    </row>
    <row r="25" spans="1:10" ht="15" customHeight="1" x14ac:dyDescent="0.25">
      <c r="A25" s="8">
        <v>23</v>
      </c>
      <c r="B25" s="8" t="s">
        <v>154</v>
      </c>
      <c r="C25" s="8">
        <v>3</v>
      </c>
      <c r="D25" s="9" t="s">
        <v>152</v>
      </c>
      <c r="E25" s="9" t="s">
        <v>158</v>
      </c>
      <c r="F25" s="26">
        <v>2</v>
      </c>
      <c r="G25" s="26">
        <v>3</v>
      </c>
      <c r="H25" s="8">
        <f t="shared" si="0"/>
        <v>1</v>
      </c>
      <c r="I25" s="8">
        <f t="shared" si="1"/>
        <v>0</v>
      </c>
      <c r="J25" s="8">
        <f t="shared" si="2"/>
        <v>3</v>
      </c>
    </row>
    <row r="26" spans="1:10" ht="15" customHeight="1" x14ac:dyDescent="0.25">
      <c r="A26" s="11">
        <v>24</v>
      </c>
      <c r="B26" s="11" t="s">
        <v>154</v>
      </c>
      <c r="C26" s="11">
        <v>3</v>
      </c>
      <c r="D26" s="12" t="s">
        <v>19</v>
      </c>
      <c r="E26" s="12" t="s">
        <v>156</v>
      </c>
      <c r="F26" s="28">
        <v>0</v>
      </c>
      <c r="G26" s="28">
        <v>0</v>
      </c>
      <c r="H26" s="11">
        <f t="shared" si="0"/>
        <v>1</v>
      </c>
      <c r="I26" s="11">
        <f t="shared" si="1"/>
        <v>1</v>
      </c>
      <c r="J26" s="11">
        <f t="shared" si="2"/>
        <v>1</v>
      </c>
    </row>
    <row r="27" spans="1:10" ht="15" customHeight="1" x14ac:dyDescent="0.25">
      <c r="A27" s="8">
        <v>25</v>
      </c>
      <c r="B27" s="8" t="s">
        <v>162</v>
      </c>
      <c r="C27" s="8">
        <v>1</v>
      </c>
      <c r="D27" s="9" t="s">
        <v>160</v>
      </c>
      <c r="E27" s="9" t="s">
        <v>163</v>
      </c>
      <c r="F27" s="26">
        <v>7</v>
      </c>
      <c r="G27" s="26">
        <v>1</v>
      </c>
      <c r="H27" s="8">
        <f t="shared" si="0"/>
        <v>1</v>
      </c>
      <c r="I27" s="8">
        <f t="shared" si="1"/>
        <v>3</v>
      </c>
      <c r="J27" s="8">
        <f t="shared" si="2"/>
        <v>0</v>
      </c>
    </row>
    <row r="28" spans="1:10" ht="15" customHeight="1" x14ac:dyDescent="0.25">
      <c r="A28" s="11">
        <v>26</v>
      </c>
      <c r="B28" s="11" t="s">
        <v>162</v>
      </c>
      <c r="C28" s="11">
        <v>1</v>
      </c>
      <c r="D28" s="12" t="s">
        <v>165</v>
      </c>
      <c r="E28" s="12" t="s">
        <v>29</v>
      </c>
      <c r="F28" s="28">
        <v>1</v>
      </c>
      <c r="G28" s="28">
        <v>0</v>
      </c>
      <c r="H28" s="11">
        <f t="shared" si="0"/>
        <v>1</v>
      </c>
      <c r="I28" s="11">
        <f t="shared" si="1"/>
        <v>3</v>
      </c>
      <c r="J28" s="11">
        <f t="shared" si="2"/>
        <v>0</v>
      </c>
    </row>
    <row r="29" spans="1:10" ht="15" customHeight="1" x14ac:dyDescent="0.25">
      <c r="A29" s="8">
        <v>27</v>
      </c>
      <c r="B29" s="8" t="s">
        <v>162</v>
      </c>
      <c r="C29" s="8">
        <v>2</v>
      </c>
      <c r="D29" s="9" t="s">
        <v>160</v>
      </c>
      <c r="E29" s="9" t="s">
        <v>165</v>
      </c>
      <c r="F29" s="26">
        <v>2</v>
      </c>
      <c r="G29" s="26">
        <v>1</v>
      </c>
      <c r="H29" s="8">
        <f t="shared" si="0"/>
        <v>1</v>
      </c>
      <c r="I29" s="8">
        <f t="shared" si="1"/>
        <v>3</v>
      </c>
      <c r="J29" s="8">
        <f t="shared" si="2"/>
        <v>0</v>
      </c>
    </row>
    <row r="30" spans="1:10" ht="15" customHeight="1" x14ac:dyDescent="0.25">
      <c r="A30" s="11">
        <v>28</v>
      </c>
      <c r="B30" s="11" t="s">
        <v>162</v>
      </c>
      <c r="C30" s="11">
        <v>2</v>
      </c>
      <c r="D30" s="12" t="s">
        <v>163</v>
      </c>
      <c r="E30" s="12" t="s">
        <v>29</v>
      </c>
      <c r="F30" s="28">
        <v>0</v>
      </c>
      <c r="G30" s="28">
        <v>0</v>
      </c>
      <c r="H30" s="11">
        <f t="shared" si="0"/>
        <v>1</v>
      </c>
      <c r="I30" s="11">
        <f t="shared" si="1"/>
        <v>1</v>
      </c>
      <c r="J30" s="11">
        <f t="shared" si="2"/>
        <v>1</v>
      </c>
    </row>
    <row r="31" spans="1:10" ht="15" customHeight="1" x14ac:dyDescent="0.25">
      <c r="A31" s="8">
        <v>29</v>
      </c>
      <c r="B31" s="8" t="s">
        <v>162</v>
      </c>
      <c r="C31" s="8">
        <v>3</v>
      </c>
      <c r="D31" s="9" t="s">
        <v>160</v>
      </c>
      <c r="E31" s="9" t="s">
        <v>29</v>
      </c>
      <c r="F31" s="26">
        <v>1</v>
      </c>
      <c r="G31" s="26">
        <v>2</v>
      </c>
      <c r="H31" s="8">
        <f t="shared" si="0"/>
        <v>1</v>
      </c>
      <c r="I31" s="8">
        <f t="shared" si="1"/>
        <v>0</v>
      </c>
      <c r="J31" s="8">
        <f t="shared" si="2"/>
        <v>3</v>
      </c>
    </row>
    <row r="32" spans="1:10" ht="15" customHeight="1" x14ac:dyDescent="0.25">
      <c r="A32" s="11">
        <v>30</v>
      </c>
      <c r="B32" s="11" t="s">
        <v>162</v>
      </c>
      <c r="C32" s="11">
        <v>3</v>
      </c>
      <c r="D32" s="12" t="s">
        <v>163</v>
      </c>
      <c r="E32" s="12" t="s">
        <v>165</v>
      </c>
      <c r="F32" s="28">
        <v>0</v>
      </c>
      <c r="G32" s="28">
        <v>2</v>
      </c>
      <c r="H32" s="11">
        <f t="shared" si="0"/>
        <v>1</v>
      </c>
      <c r="I32" s="11">
        <f t="shared" si="1"/>
        <v>0</v>
      </c>
      <c r="J32" s="11">
        <f t="shared" si="2"/>
        <v>3</v>
      </c>
    </row>
    <row r="33" spans="1:10" ht="15" customHeight="1" x14ac:dyDescent="0.25">
      <c r="A33" s="8">
        <v>31</v>
      </c>
      <c r="B33" s="8" t="s">
        <v>170</v>
      </c>
      <c r="C33" s="8">
        <v>1</v>
      </c>
      <c r="D33" s="9" t="s">
        <v>168</v>
      </c>
      <c r="E33" s="9" t="s">
        <v>171</v>
      </c>
      <c r="F33" s="26">
        <v>2</v>
      </c>
      <c r="G33" s="26">
        <v>2</v>
      </c>
      <c r="H33" s="8">
        <f t="shared" si="0"/>
        <v>1</v>
      </c>
      <c r="I33" s="8">
        <f t="shared" si="1"/>
        <v>1</v>
      </c>
      <c r="J33" s="8">
        <f t="shared" si="2"/>
        <v>1</v>
      </c>
    </row>
    <row r="34" spans="1:10" ht="15" customHeight="1" x14ac:dyDescent="0.25">
      <c r="A34" s="11">
        <v>32</v>
      </c>
      <c r="B34" s="11" t="s">
        <v>170</v>
      </c>
      <c r="C34" s="11">
        <v>1</v>
      </c>
      <c r="D34" s="12" t="s">
        <v>26</v>
      </c>
      <c r="E34" s="12" t="s">
        <v>174</v>
      </c>
      <c r="F34" s="28">
        <v>5</v>
      </c>
      <c r="G34" s="28">
        <v>1</v>
      </c>
      <c r="H34" s="11">
        <f t="shared" si="0"/>
        <v>1</v>
      </c>
      <c r="I34" s="11">
        <f t="shared" si="1"/>
        <v>3</v>
      </c>
      <c r="J34" s="11">
        <f t="shared" si="2"/>
        <v>0</v>
      </c>
    </row>
    <row r="35" spans="1:10" ht="15" customHeight="1" x14ac:dyDescent="0.25">
      <c r="A35" s="8">
        <v>33</v>
      </c>
      <c r="B35" s="8" t="s">
        <v>170</v>
      </c>
      <c r="C35" s="8">
        <v>2</v>
      </c>
      <c r="D35" s="9" t="s">
        <v>168</v>
      </c>
      <c r="E35" s="9" t="s">
        <v>26</v>
      </c>
      <c r="F35" s="26">
        <v>5</v>
      </c>
      <c r="G35" s="26">
        <v>1</v>
      </c>
      <c r="H35" s="8">
        <f t="shared" ref="H35:H66" si="3">IF(AND(ISNUMBER(F35),ISNUMBER(G35)),1,0)</f>
        <v>1</v>
      </c>
      <c r="I35" s="8">
        <f t="shared" ref="I35:I66" si="4">IF(H35=1,IF(F35&gt;G35,3,IF(F35=G35,1,0)),"")</f>
        <v>3</v>
      </c>
      <c r="J35" s="8">
        <f t="shared" ref="J35:J66" si="5">IF(H35=1,IF(G35&gt;F35,3,IF(F35=G35,1,0)),"")</f>
        <v>0</v>
      </c>
    </row>
    <row r="36" spans="1:10" ht="15" customHeight="1" x14ac:dyDescent="0.25">
      <c r="A36" s="11">
        <v>34</v>
      </c>
      <c r="B36" s="11" t="s">
        <v>170</v>
      </c>
      <c r="C36" s="11">
        <v>2</v>
      </c>
      <c r="D36" s="12" t="s">
        <v>171</v>
      </c>
      <c r="E36" s="12" t="s">
        <v>174</v>
      </c>
      <c r="F36" s="28">
        <v>4</v>
      </c>
      <c r="G36" s="28">
        <v>0</v>
      </c>
      <c r="H36" s="11">
        <f t="shared" si="3"/>
        <v>1</v>
      </c>
      <c r="I36" s="11">
        <f t="shared" si="4"/>
        <v>3</v>
      </c>
      <c r="J36" s="11">
        <f t="shared" si="5"/>
        <v>0</v>
      </c>
    </row>
    <row r="37" spans="1:10" ht="15" customHeight="1" x14ac:dyDescent="0.25">
      <c r="A37" s="8">
        <v>35</v>
      </c>
      <c r="B37" s="8" t="s">
        <v>170</v>
      </c>
      <c r="C37" s="8">
        <v>3</v>
      </c>
      <c r="D37" s="9" t="s">
        <v>168</v>
      </c>
      <c r="E37" s="9" t="s">
        <v>174</v>
      </c>
      <c r="F37" s="26">
        <v>3</v>
      </c>
      <c r="G37" s="26">
        <v>1</v>
      </c>
      <c r="H37" s="8">
        <f t="shared" si="3"/>
        <v>1</v>
      </c>
      <c r="I37" s="8">
        <f t="shared" si="4"/>
        <v>3</v>
      </c>
      <c r="J37" s="8">
        <f t="shared" si="5"/>
        <v>0</v>
      </c>
    </row>
    <row r="38" spans="1:10" ht="15" customHeight="1" x14ac:dyDescent="0.25">
      <c r="A38" s="11">
        <v>36</v>
      </c>
      <c r="B38" s="11" t="s">
        <v>170</v>
      </c>
      <c r="C38" s="11">
        <v>3</v>
      </c>
      <c r="D38" s="12" t="s">
        <v>171</v>
      </c>
      <c r="E38" s="12" t="s">
        <v>26</v>
      </c>
      <c r="F38" s="28">
        <v>1</v>
      </c>
      <c r="G38" s="28">
        <v>1</v>
      </c>
      <c r="H38" s="11">
        <f t="shared" si="3"/>
        <v>1</v>
      </c>
      <c r="I38" s="11">
        <f t="shared" si="4"/>
        <v>1</v>
      </c>
      <c r="J38" s="11">
        <f t="shared" si="5"/>
        <v>1</v>
      </c>
    </row>
    <row r="39" spans="1:10" ht="15" customHeight="1" x14ac:dyDescent="0.25">
      <c r="A39" s="8">
        <v>37</v>
      </c>
      <c r="B39" s="8" t="s">
        <v>178</v>
      </c>
      <c r="C39" s="8">
        <v>1</v>
      </c>
      <c r="D39" s="9" t="s">
        <v>176</v>
      </c>
      <c r="E39" s="9" t="s">
        <v>179</v>
      </c>
      <c r="F39" s="26">
        <v>1</v>
      </c>
      <c r="G39" s="26">
        <v>1</v>
      </c>
      <c r="H39" s="8">
        <f t="shared" si="3"/>
        <v>1</v>
      </c>
      <c r="I39" s="8">
        <f t="shared" si="4"/>
        <v>1</v>
      </c>
      <c r="J39" s="8">
        <f t="shared" si="5"/>
        <v>1</v>
      </c>
    </row>
    <row r="40" spans="1:10" ht="15" customHeight="1" x14ac:dyDescent="0.25">
      <c r="A40" s="11">
        <v>38</v>
      </c>
      <c r="B40" s="11" t="s">
        <v>178</v>
      </c>
      <c r="C40" s="11">
        <v>1</v>
      </c>
      <c r="D40" s="12" t="s">
        <v>181</v>
      </c>
      <c r="E40" s="12" t="s">
        <v>183</v>
      </c>
      <c r="F40" s="28">
        <v>2</v>
      </c>
      <c r="G40" s="28">
        <v>2</v>
      </c>
      <c r="H40" s="11">
        <f t="shared" si="3"/>
        <v>1</v>
      </c>
      <c r="I40" s="11">
        <f t="shared" si="4"/>
        <v>1</v>
      </c>
      <c r="J40" s="11">
        <f t="shared" si="5"/>
        <v>1</v>
      </c>
    </row>
    <row r="41" spans="1:10" ht="15" customHeight="1" x14ac:dyDescent="0.25">
      <c r="A41" s="8">
        <v>39</v>
      </c>
      <c r="B41" s="8" t="s">
        <v>178</v>
      </c>
      <c r="C41" s="8">
        <v>2</v>
      </c>
      <c r="D41" s="9" t="s">
        <v>176</v>
      </c>
      <c r="E41" s="9" t="s">
        <v>181</v>
      </c>
      <c r="F41" s="26">
        <v>0</v>
      </c>
      <c r="G41" s="26">
        <v>0</v>
      </c>
      <c r="H41" s="8">
        <f t="shared" si="3"/>
        <v>1</v>
      </c>
      <c r="I41" s="8">
        <f t="shared" si="4"/>
        <v>1</v>
      </c>
      <c r="J41" s="8">
        <f t="shared" si="5"/>
        <v>1</v>
      </c>
    </row>
    <row r="42" spans="1:10" ht="15" customHeight="1" x14ac:dyDescent="0.25">
      <c r="A42" s="11">
        <v>40</v>
      </c>
      <c r="B42" s="11" t="s">
        <v>178</v>
      </c>
      <c r="C42" s="11">
        <v>2</v>
      </c>
      <c r="D42" s="12" t="s">
        <v>179</v>
      </c>
      <c r="E42" s="12" t="s">
        <v>183</v>
      </c>
      <c r="F42" s="28">
        <v>3</v>
      </c>
      <c r="G42" s="28">
        <v>1</v>
      </c>
      <c r="H42" s="11">
        <f t="shared" si="3"/>
        <v>1</v>
      </c>
      <c r="I42" s="11">
        <f t="shared" si="4"/>
        <v>3</v>
      </c>
      <c r="J42" s="11">
        <f t="shared" si="5"/>
        <v>0</v>
      </c>
    </row>
    <row r="43" spans="1:10" ht="15" customHeight="1" x14ac:dyDescent="0.25">
      <c r="A43" s="8">
        <v>41</v>
      </c>
      <c r="B43" s="8" t="s">
        <v>178</v>
      </c>
      <c r="C43" s="8">
        <v>3</v>
      </c>
      <c r="D43" s="9" t="s">
        <v>176</v>
      </c>
      <c r="E43" s="9" t="s">
        <v>183</v>
      </c>
      <c r="F43" s="26">
        <v>5</v>
      </c>
      <c r="G43" s="26">
        <v>1</v>
      </c>
      <c r="H43" s="8">
        <f t="shared" si="3"/>
        <v>1</v>
      </c>
      <c r="I43" s="8">
        <f t="shared" si="4"/>
        <v>3</v>
      </c>
      <c r="J43" s="8">
        <f t="shared" si="5"/>
        <v>0</v>
      </c>
    </row>
    <row r="44" spans="1:10" ht="15" customHeight="1" x14ac:dyDescent="0.25">
      <c r="A44" s="11">
        <v>42</v>
      </c>
      <c r="B44" s="11" t="s">
        <v>178</v>
      </c>
      <c r="C44" s="11">
        <v>3</v>
      </c>
      <c r="D44" s="12" t="s">
        <v>179</v>
      </c>
      <c r="E44" s="12" t="s">
        <v>181</v>
      </c>
      <c r="F44" s="28">
        <v>1</v>
      </c>
      <c r="G44" s="28">
        <v>1</v>
      </c>
      <c r="H44" s="11">
        <f t="shared" si="3"/>
        <v>1</v>
      </c>
      <c r="I44" s="11">
        <f t="shared" si="4"/>
        <v>1</v>
      </c>
      <c r="J44" s="11">
        <f t="shared" si="5"/>
        <v>1</v>
      </c>
    </row>
    <row r="45" spans="1:10" ht="15" customHeight="1" x14ac:dyDescent="0.25">
      <c r="A45" s="8">
        <v>43</v>
      </c>
      <c r="B45" s="8" t="s">
        <v>188</v>
      </c>
      <c r="C45" s="8">
        <v>1</v>
      </c>
      <c r="D45" s="9" t="s">
        <v>186</v>
      </c>
      <c r="E45" s="9" t="s">
        <v>189</v>
      </c>
      <c r="F45" s="26">
        <v>0</v>
      </c>
      <c r="G45" s="26">
        <v>0</v>
      </c>
      <c r="H45" s="8">
        <f t="shared" si="3"/>
        <v>1</v>
      </c>
      <c r="I45" s="8">
        <f t="shared" si="4"/>
        <v>1</v>
      </c>
      <c r="J45" s="8">
        <f t="shared" si="5"/>
        <v>1</v>
      </c>
    </row>
    <row r="46" spans="1:10" ht="15" customHeight="1" x14ac:dyDescent="0.25">
      <c r="A46" s="11">
        <v>44</v>
      </c>
      <c r="B46" s="11" t="s">
        <v>188</v>
      </c>
      <c r="C46" s="11">
        <v>1</v>
      </c>
      <c r="D46" s="12" t="s">
        <v>191</v>
      </c>
      <c r="E46" s="12" t="s">
        <v>193</v>
      </c>
      <c r="F46" s="28">
        <v>1</v>
      </c>
      <c r="G46" s="28">
        <v>1</v>
      </c>
      <c r="H46" s="11">
        <f t="shared" si="3"/>
        <v>1</v>
      </c>
      <c r="I46" s="11">
        <f t="shared" si="4"/>
        <v>1</v>
      </c>
      <c r="J46" s="11">
        <f t="shared" si="5"/>
        <v>1</v>
      </c>
    </row>
    <row r="47" spans="1:10" ht="15" customHeight="1" x14ac:dyDescent="0.25">
      <c r="A47" s="8">
        <v>45</v>
      </c>
      <c r="B47" s="8" t="s">
        <v>188</v>
      </c>
      <c r="C47" s="8">
        <v>2</v>
      </c>
      <c r="D47" s="9" t="s">
        <v>186</v>
      </c>
      <c r="E47" s="9" t="s">
        <v>191</v>
      </c>
      <c r="F47" s="26">
        <v>4</v>
      </c>
      <c r="G47" s="26">
        <v>0</v>
      </c>
      <c r="H47" s="8">
        <f t="shared" si="3"/>
        <v>1</v>
      </c>
      <c r="I47" s="8">
        <f t="shared" si="4"/>
        <v>3</v>
      </c>
      <c r="J47" s="8">
        <f t="shared" si="5"/>
        <v>0</v>
      </c>
    </row>
    <row r="48" spans="1:10" ht="15" customHeight="1" x14ac:dyDescent="0.25">
      <c r="A48" s="11">
        <v>46</v>
      </c>
      <c r="B48" s="11" t="s">
        <v>188</v>
      </c>
      <c r="C48" s="11">
        <v>2</v>
      </c>
      <c r="D48" s="12" t="s">
        <v>189</v>
      </c>
      <c r="E48" s="12" t="s">
        <v>193</v>
      </c>
      <c r="F48" s="28">
        <v>2</v>
      </c>
      <c r="G48" s="28">
        <v>2</v>
      </c>
      <c r="H48" s="11">
        <f t="shared" si="3"/>
        <v>1</v>
      </c>
      <c r="I48" s="11">
        <f t="shared" si="4"/>
        <v>1</v>
      </c>
      <c r="J48" s="11">
        <f t="shared" si="5"/>
        <v>1</v>
      </c>
    </row>
    <row r="49" spans="1:10" ht="15" customHeight="1" x14ac:dyDescent="0.25">
      <c r="A49" s="8">
        <v>47</v>
      </c>
      <c r="B49" s="8" t="s">
        <v>188</v>
      </c>
      <c r="C49" s="8">
        <v>3</v>
      </c>
      <c r="D49" s="9" t="s">
        <v>186</v>
      </c>
      <c r="E49" s="9" t="s">
        <v>193</v>
      </c>
      <c r="F49" s="26">
        <v>1</v>
      </c>
      <c r="G49" s="26">
        <v>0</v>
      </c>
      <c r="H49" s="8">
        <f t="shared" si="3"/>
        <v>1</v>
      </c>
      <c r="I49" s="8">
        <f t="shared" si="4"/>
        <v>3</v>
      </c>
      <c r="J49" s="8">
        <f t="shared" si="5"/>
        <v>0</v>
      </c>
    </row>
    <row r="50" spans="1:10" ht="15" customHeight="1" x14ac:dyDescent="0.25">
      <c r="A50" s="11">
        <v>48</v>
      </c>
      <c r="B50" s="11" t="s">
        <v>188</v>
      </c>
      <c r="C50" s="11">
        <v>3</v>
      </c>
      <c r="D50" s="12" t="s">
        <v>189</v>
      </c>
      <c r="E50" s="12" t="s">
        <v>191</v>
      </c>
      <c r="F50" s="28">
        <v>0</v>
      </c>
      <c r="G50" s="28">
        <v>0</v>
      </c>
      <c r="H50" s="11">
        <f t="shared" si="3"/>
        <v>1</v>
      </c>
      <c r="I50" s="11">
        <f t="shared" si="4"/>
        <v>1</v>
      </c>
      <c r="J50" s="11">
        <f t="shared" si="5"/>
        <v>1</v>
      </c>
    </row>
    <row r="51" spans="1:10" ht="15" customHeight="1" x14ac:dyDescent="0.25">
      <c r="A51" s="8">
        <v>49</v>
      </c>
      <c r="B51" s="8" t="s">
        <v>197</v>
      </c>
      <c r="C51" s="8">
        <v>1</v>
      </c>
      <c r="D51" s="9" t="s">
        <v>195</v>
      </c>
      <c r="E51" s="9" t="s">
        <v>35</v>
      </c>
      <c r="F51" s="26">
        <v>3</v>
      </c>
      <c r="G51" s="26">
        <v>1</v>
      </c>
      <c r="H51" s="8">
        <f t="shared" si="3"/>
        <v>1</v>
      </c>
      <c r="I51" s="8">
        <f t="shared" si="4"/>
        <v>3</v>
      </c>
      <c r="J51" s="8">
        <f t="shared" si="5"/>
        <v>0</v>
      </c>
    </row>
    <row r="52" spans="1:10" ht="15" customHeight="1" x14ac:dyDescent="0.25">
      <c r="A52" s="11">
        <v>50</v>
      </c>
      <c r="B52" s="11" t="s">
        <v>197</v>
      </c>
      <c r="C52" s="11">
        <v>1</v>
      </c>
      <c r="D52" s="12" t="s">
        <v>199</v>
      </c>
      <c r="E52" s="12" t="s">
        <v>201</v>
      </c>
      <c r="F52" s="28">
        <v>1</v>
      </c>
      <c r="G52" s="28">
        <v>4</v>
      </c>
      <c r="H52" s="11">
        <f t="shared" si="3"/>
        <v>1</v>
      </c>
      <c r="I52" s="11">
        <f t="shared" si="4"/>
        <v>0</v>
      </c>
      <c r="J52" s="11">
        <f t="shared" si="5"/>
        <v>3</v>
      </c>
    </row>
    <row r="53" spans="1:10" ht="15" customHeight="1" x14ac:dyDescent="0.25">
      <c r="A53" s="8">
        <v>51</v>
      </c>
      <c r="B53" s="8" t="s">
        <v>197</v>
      </c>
      <c r="C53" s="8">
        <v>2</v>
      </c>
      <c r="D53" s="9" t="s">
        <v>195</v>
      </c>
      <c r="E53" s="9" t="s">
        <v>199</v>
      </c>
      <c r="F53" s="26">
        <v>3</v>
      </c>
      <c r="G53" s="26">
        <v>0</v>
      </c>
      <c r="H53" s="8">
        <f t="shared" si="3"/>
        <v>1</v>
      </c>
      <c r="I53" s="8">
        <f t="shared" si="4"/>
        <v>3</v>
      </c>
      <c r="J53" s="8">
        <f t="shared" si="5"/>
        <v>0</v>
      </c>
    </row>
    <row r="54" spans="1:10" ht="15" customHeight="1" x14ac:dyDescent="0.25">
      <c r="A54" s="11">
        <v>52</v>
      </c>
      <c r="B54" s="11" t="s">
        <v>197</v>
      </c>
      <c r="C54" s="11">
        <v>2</v>
      </c>
      <c r="D54" s="12" t="s">
        <v>35</v>
      </c>
      <c r="E54" s="12" t="s">
        <v>201</v>
      </c>
      <c r="F54" s="28">
        <v>2</v>
      </c>
      <c r="G54" s="28">
        <v>3</v>
      </c>
      <c r="H54" s="11">
        <f t="shared" si="3"/>
        <v>1</v>
      </c>
      <c r="I54" s="11">
        <f t="shared" si="4"/>
        <v>0</v>
      </c>
      <c r="J54" s="11">
        <f t="shared" si="5"/>
        <v>3</v>
      </c>
    </row>
    <row r="55" spans="1:10" ht="15" customHeight="1" x14ac:dyDescent="0.25">
      <c r="A55" s="8">
        <v>53</v>
      </c>
      <c r="B55" s="8" t="s">
        <v>197</v>
      </c>
      <c r="C55" s="8">
        <v>3</v>
      </c>
      <c r="D55" s="9" t="s">
        <v>195</v>
      </c>
      <c r="E55" s="9" t="s">
        <v>201</v>
      </c>
      <c r="F55" s="26">
        <v>4</v>
      </c>
      <c r="G55" s="26">
        <v>1</v>
      </c>
      <c r="H55" s="8">
        <f t="shared" si="3"/>
        <v>1</v>
      </c>
      <c r="I55" s="8">
        <f t="shared" si="4"/>
        <v>3</v>
      </c>
      <c r="J55" s="8">
        <f t="shared" si="5"/>
        <v>0</v>
      </c>
    </row>
    <row r="56" spans="1:10" ht="15" customHeight="1" x14ac:dyDescent="0.25">
      <c r="A56" s="11">
        <v>54</v>
      </c>
      <c r="B56" s="11" t="s">
        <v>197</v>
      </c>
      <c r="C56" s="11">
        <v>3</v>
      </c>
      <c r="D56" s="12" t="s">
        <v>35</v>
      </c>
      <c r="E56" s="12" t="s">
        <v>199</v>
      </c>
      <c r="F56" s="28">
        <v>5</v>
      </c>
      <c r="G56" s="28">
        <v>0</v>
      </c>
      <c r="H56" s="11">
        <f t="shared" si="3"/>
        <v>1</v>
      </c>
      <c r="I56" s="11">
        <f t="shared" si="4"/>
        <v>3</v>
      </c>
      <c r="J56" s="11">
        <f t="shared" si="5"/>
        <v>0</v>
      </c>
    </row>
    <row r="57" spans="1:10" ht="15" customHeight="1" x14ac:dyDescent="0.25">
      <c r="A57" s="8">
        <v>55</v>
      </c>
      <c r="B57" s="8" t="s">
        <v>205</v>
      </c>
      <c r="C57" s="8">
        <v>1</v>
      </c>
      <c r="D57" s="9" t="s">
        <v>203</v>
      </c>
      <c r="E57" s="9" t="s">
        <v>45</v>
      </c>
      <c r="F57" s="26">
        <v>3</v>
      </c>
      <c r="G57" s="26">
        <v>0</v>
      </c>
      <c r="H57" s="8">
        <f t="shared" si="3"/>
        <v>1</v>
      </c>
      <c r="I57" s="8">
        <f t="shared" si="4"/>
        <v>3</v>
      </c>
      <c r="J57" s="8">
        <f t="shared" si="5"/>
        <v>0</v>
      </c>
    </row>
    <row r="58" spans="1:10" ht="15" customHeight="1" x14ac:dyDescent="0.25">
      <c r="A58" s="11">
        <v>56</v>
      </c>
      <c r="B58" s="11" t="s">
        <v>205</v>
      </c>
      <c r="C58" s="11">
        <v>1</v>
      </c>
      <c r="D58" s="12" t="s">
        <v>207</v>
      </c>
      <c r="E58" s="12" t="s">
        <v>209</v>
      </c>
      <c r="F58" s="28">
        <v>3</v>
      </c>
      <c r="G58" s="28">
        <v>1</v>
      </c>
      <c r="H58" s="11">
        <f t="shared" si="3"/>
        <v>1</v>
      </c>
      <c r="I58" s="11">
        <f t="shared" si="4"/>
        <v>3</v>
      </c>
      <c r="J58" s="11">
        <f t="shared" si="5"/>
        <v>0</v>
      </c>
    </row>
    <row r="59" spans="1:10" ht="15" customHeight="1" x14ac:dyDescent="0.25">
      <c r="A59" s="8">
        <v>57</v>
      </c>
      <c r="B59" s="8" t="s">
        <v>205</v>
      </c>
      <c r="C59" s="8">
        <v>2</v>
      </c>
      <c r="D59" s="9" t="s">
        <v>203</v>
      </c>
      <c r="E59" s="9" t="s">
        <v>207</v>
      </c>
      <c r="F59" s="26">
        <v>2</v>
      </c>
      <c r="G59" s="26">
        <v>0</v>
      </c>
      <c r="H59" s="8">
        <f t="shared" si="3"/>
        <v>1</v>
      </c>
      <c r="I59" s="8">
        <f t="shared" si="4"/>
        <v>3</v>
      </c>
      <c r="J59" s="8">
        <f t="shared" si="5"/>
        <v>0</v>
      </c>
    </row>
    <row r="60" spans="1:10" ht="15" customHeight="1" x14ac:dyDescent="0.25">
      <c r="A60" s="11">
        <v>58</v>
      </c>
      <c r="B60" s="11" t="s">
        <v>205</v>
      </c>
      <c r="C60" s="11">
        <v>2</v>
      </c>
      <c r="D60" s="12" t="s">
        <v>45</v>
      </c>
      <c r="E60" s="12" t="s">
        <v>209</v>
      </c>
      <c r="F60" s="28">
        <v>2</v>
      </c>
      <c r="G60" s="28">
        <v>1</v>
      </c>
      <c r="H60" s="11">
        <f t="shared" si="3"/>
        <v>1</v>
      </c>
      <c r="I60" s="11">
        <f t="shared" si="4"/>
        <v>3</v>
      </c>
      <c r="J60" s="11">
        <f t="shared" si="5"/>
        <v>0</v>
      </c>
    </row>
    <row r="61" spans="1:10" ht="15" customHeight="1" x14ac:dyDescent="0.25">
      <c r="A61" s="8">
        <v>59</v>
      </c>
      <c r="B61" s="8" t="s">
        <v>205</v>
      </c>
      <c r="C61" s="8">
        <v>3</v>
      </c>
      <c r="D61" s="9" t="s">
        <v>203</v>
      </c>
      <c r="E61" s="9" t="s">
        <v>209</v>
      </c>
      <c r="F61" s="26">
        <v>3</v>
      </c>
      <c r="G61" s="26">
        <v>1</v>
      </c>
      <c r="H61" s="8">
        <f t="shared" si="3"/>
        <v>1</v>
      </c>
      <c r="I61" s="8">
        <f t="shared" si="4"/>
        <v>3</v>
      </c>
      <c r="J61" s="8">
        <f t="shared" si="5"/>
        <v>0</v>
      </c>
    </row>
    <row r="62" spans="1:10" ht="15" customHeight="1" x14ac:dyDescent="0.25">
      <c r="A62" s="11">
        <v>60</v>
      </c>
      <c r="B62" s="11" t="s">
        <v>205</v>
      </c>
      <c r="C62" s="11">
        <v>3</v>
      </c>
      <c r="D62" s="12" t="s">
        <v>45</v>
      </c>
      <c r="E62" s="12" t="s">
        <v>207</v>
      </c>
      <c r="F62" s="28">
        <v>3</v>
      </c>
      <c r="G62" s="28">
        <v>3</v>
      </c>
      <c r="H62" s="11">
        <f t="shared" si="3"/>
        <v>1</v>
      </c>
      <c r="I62" s="11">
        <f t="shared" si="4"/>
        <v>1</v>
      </c>
      <c r="J62" s="11">
        <f t="shared" si="5"/>
        <v>1</v>
      </c>
    </row>
    <row r="63" spans="1:10" ht="15" customHeight="1" x14ac:dyDescent="0.25">
      <c r="A63" s="8">
        <v>61</v>
      </c>
      <c r="B63" s="8" t="s">
        <v>213</v>
      </c>
      <c r="C63" s="8">
        <v>1</v>
      </c>
      <c r="D63" s="9" t="s">
        <v>211</v>
      </c>
      <c r="E63" s="9" t="s">
        <v>32</v>
      </c>
      <c r="F63" s="26">
        <v>1</v>
      </c>
      <c r="G63" s="26">
        <v>1</v>
      </c>
      <c r="H63" s="8">
        <f t="shared" si="3"/>
        <v>1</v>
      </c>
      <c r="I63" s="8">
        <f t="shared" si="4"/>
        <v>1</v>
      </c>
      <c r="J63" s="8">
        <f t="shared" si="5"/>
        <v>1</v>
      </c>
    </row>
    <row r="64" spans="1:10" ht="15" customHeight="1" x14ac:dyDescent="0.25">
      <c r="A64" s="11">
        <v>62</v>
      </c>
      <c r="B64" s="11" t="s">
        <v>213</v>
      </c>
      <c r="C64" s="11">
        <v>1</v>
      </c>
      <c r="D64" s="12" t="s">
        <v>215</v>
      </c>
      <c r="E64" s="12" t="s">
        <v>217</v>
      </c>
      <c r="F64" s="28">
        <v>1</v>
      </c>
      <c r="G64" s="28">
        <v>3</v>
      </c>
      <c r="H64" s="11">
        <f t="shared" si="3"/>
        <v>1</v>
      </c>
      <c r="I64" s="11">
        <f t="shared" si="4"/>
        <v>0</v>
      </c>
      <c r="J64" s="11">
        <f t="shared" si="5"/>
        <v>3</v>
      </c>
    </row>
    <row r="65" spans="1:10" ht="15" customHeight="1" x14ac:dyDescent="0.25">
      <c r="A65" s="8">
        <v>63</v>
      </c>
      <c r="B65" s="8" t="s">
        <v>213</v>
      </c>
      <c r="C65" s="8">
        <v>2</v>
      </c>
      <c r="D65" s="9" t="s">
        <v>211</v>
      </c>
      <c r="E65" s="9" t="s">
        <v>215</v>
      </c>
      <c r="F65" s="26">
        <v>5</v>
      </c>
      <c r="G65" s="26">
        <v>0</v>
      </c>
      <c r="H65" s="8">
        <f t="shared" si="3"/>
        <v>1</v>
      </c>
      <c r="I65" s="8">
        <f t="shared" si="4"/>
        <v>3</v>
      </c>
      <c r="J65" s="8">
        <f t="shared" si="5"/>
        <v>0</v>
      </c>
    </row>
    <row r="66" spans="1:10" ht="15" customHeight="1" x14ac:dyDescent="0.25">
      <c r="A66" s="11">
        <v>64</v>
      </c>
      <c r="B66" s="11" t="s">
        <v>213</v>
      </c>
      <c r="C66" s="11">
        <v>2</v>
      </c>
      <c r="D66" s="12" t="s">
        <v>32</v>
      </c>
      <c r="E66" s="12" t="s">
        <v>217</v>
      </c>
      <c r="F66" s="28">
        <v>0</v>
      </c>
      <c r="G66" s="28">
        <v>1</v>
      </c>
      <c r="H66" s="11">
        <f t="shared" si="3"/>
        <v>1</v>
      </c>
      <c r="I66" s="11">
        <f t="shared" si="4"/>
        <v>0</v>
      </c>
      <c r="J66" s="11">
        <f t="shared" si="5"/>
        <v>3</v>
      </c>
    </row>
    <row r="67" spans="1:10" ht="15" customHeight="1" x14ac:dyDescent="0.25">
      <c r="A67" s="8">
        <v>65</v>
      </c>
      <c r="B67" s="8" t="s">
        <v>213</v>
      </c>
      <c r="C67" s="8">
        <v>3</v>
      </c>
      <c r="D67" s="9" t="s">
        <v>211</v>
      </c>
      <c r="E67" s="9" t="s">
        <v>217</v>
      </c>
      <c r="F67" s="26">
        <v>0</v>
      </c>
      <c r="G67" s="26">
        <v>0</v>
      </c>
      <c r="H67" s="8">
        <f t="shared" ref="H67:H74" si="6">IF(AND(ISNUMBER(F67),ISNUMBER(G67)),1,0)</f>
        <v>1</v>
      </c>
      <c r="I67" s="8">
        <f t="shared" ref="I67:I74" si="7">IF(H67=1,IF(F67&gt;G67,3,IF(F67=G67,1,0)),"")</f>
        <v>1</v>
      </c>
      <c r="J67" s="8">
        <f t="shared" ref="J67:J74" si="8">IF(H67=1,IF(G67&gt;F67,3,IF(F67=G67,1,0)),"")</f>
        <v>1</v>
      </c>
    </row>
    <row r="68" spans="1:10" ht="15" customHeight="1" x14ac:dyDescent="0.25">
      <c r="A68" s="11">
        <v>66</v>
      </c>
      <c r="B68" s="11" t="s">
        <v>213</v>
      </c>
      <c r="C68" s="11">
        <v>3</v>
      </c>
      <c r="D68" s="12" t="s">
        <v>32</v>
      </c>
      <c r="E68" s="12" t="s">
        <v>215</v>
      </c>
      <c r="F68" s="28">
        <v>3</v>
      </c>
      <c r="G68" s="28">
        <v>1</v>
      </c>
      <c r="H68" s="11">
        <f t="shared" si="6"/>
        <v>1</v>
      </c>
      <c r="I68" s="11">
        <f t="shared" si="7"/>
        <v>3</v>
      </c>
      <c r="J68" s="11">
        <f t="shared" si="8"/>
        <v>0</v>
      </c>
    </row>
    <row r="69" spans="1:10" ht="15" customHeight="1" x14ac:dyDescent="0.25">
      <c r="A69" s="8">
        <v>67</v>
      </c>
      <c r="B69" s="8" t="s">
        <v>221</v>
      </c>
      <c r="C69" s="8">
        <v>1</v>
      </c>
      <c r="D69" s="9" t="s">
        <v>219</v>
      </c>
      <c r="E69" s="9" t="s">
        <v>222</v>
      </c>
      <c r="F69" s="26">
        <v>4</v>
      </c>
      <c r="G69" s="26">
        <v>2</v>
      </c>
      <c r="H69" s="8">
        <f t="shared" si="6"/>
        <v>1</v>
      </c>
      <c r="I69" s="8">
        <f t="shared" si="7"/>
        <v>3</v>
      </c>
      <c r="J69" s="8">
        <f t="shared" si="8"/>
        <v>0</v>
      </c>
    </row>
    <row r="70" spans="1:10" ht="15" customHeight="1" x14ac:dyDescent="0.25">
      <c r="A70" s="11">
        <v>68</v>
      </c>
      <c r="B70" s="11" t="s">
        <v>221</v>
      </c>
      <c r="C70" s="11">
        <v>1</v>
      </c>
      <c r="D70" s="12" t="s">
        <v>52</v>
      </c>
      <c r="E70" s="12" t="s">
        <v>225</v>
      </c>
      <c r="F70" s="28">
        <v>1</v>
      </c>
      <c r="G70" s="28">
        <v>0</v>
      </c>
      <c r="H70" s="11">
        <f t="shared" si="6"/>
        <v>1</v>
      </c>
      <c r="I70" s="11">
        <f t="shared" si="7"/>
        <v>3</v>
      </c>
      <c r="J70" s="11">
        <f t="shared" si="8"/>
        <v>0</v>
      </c>
    </row>
    <row r="71" spans="1:10" ht="15" customHeight="1" x14ac:dyDescent="0.25">
      <c r="A71" s="8">
        <v>69</v>
      </c>
      <c r="B71" s="8" t="s">
        <v>221</v>
      </c>
      <c r="C71" s="8">
        <v>2</v>
      </c>
      <c r="D71" s="9" t="s">
        <v>219</v>
      </c>
      <c r="E71" s="9" t="s">
        <v>52</v>
      </c>
      <c r="F71" s="26">
        <v>0</v>
      </c>
      <c r="G71" s="26">
        <v>0</v>
      </c>
      <c r="H71" s="8">
        <f t="shared" si="6"/>
        <v>1</v>
      </c>
      <c r="I71" s="8">
        <f t="shared" si="7"/>
        <v>1</v>
      </c>
      <c r="J71" s="8">
        <f t="shared" si="8"/>
        <v>1</v>
      </c>
    </row>
    <row r="72" spans="1:10" ht="15" customHeight="1" x14ac:dyDescent="0.25">
      <c r="A72" s="11">
        <v>70</v>
      </c>
      <c r="B72" s="11" t="s">
        <v>221</v>
      </c>
      <c r="C72" s="11">
        <v>2</v>
      </c>
      <c r="D72" s="12" t="s">
        <v>222</v>
      </c>
      <c r="E72" s="12" t="s">
        <v>225</v>
      </c>
      <c r="F72" s="28">
        <v>1</v>
      </c>
      <c r="G72" s="28">
        <v>0</v>
      </c>
      <c r="H72" s="11">
        <f t="shared" si="6"/>
        <v>1</v>
      </c>
      <c r="I72" s="11">
        <f t="shared" si="7"/>
        <v>3</v>
      </c>
      <c r="J72" s="11">
        <f t="shared" si="8"/>
        <v>0</v>
      </c>
    </row>
    <row r="73" spans="1:10" ht="15" customHeight="1" x14ac:dyDescent="0.25">
      <c r="A73" s="8">
        <v>71</v>
      </c>
      <c r="B73" s="8" t="s">
        <v>221</v>
      </c>
      <c r="C73" s="8">
        <v>3</v>
      </c>
      <c r="D73" s="9" t="s">
        <v>219</v>
      </c>
      <c r="E73" s="9" t="s">
        <v>225</v>
      </c>
      <c r="F73" s="26">
        <v>2</v>
      </c>
      <c r="G73" s="26">
        <v>0</v>
      </c>
      <c r="H73" s="8">
        <f t="shared" si="6"/>
        <v>1</v>
      </c>
      <c r="I73" s="8">
        <f t="shared" si="7"/>
        <v>3</v>
      </c>
      <c r="J73" s="8">
        <f t="shared" si="8"/>
        <v>0</v>
      </c>
    </row>
    <row r="74" spans="1:10" ht="15" customHeight="1" x14ac:dyDescent="0.25">
      <c r="A74" s="11">
        <v>72</v>
      </c>
      <c r="B74" s="11" t="s">
        <v>221</v>
      </c>
      <c r="C74" s="11">
        <v>3</v>
      </c>
      <c r="D74" s="12" t="s">
        <v>222</v>
      </c>
      <c r="E74" s="12" t="s">
        <v>52</v>
      </c>
      <c r="F74" s="28">
        <v>2</v>
      </c>
      <c r="G74" s="28">
        <v>1</v>
      </c>
      <c r="H74" s="11">
        <f t="shared" si="6"/>
        <v>1</v>
      </c>
      <c r="I74" s="11">
        <f t="shared" si="7"/>
        <v>3</v>
      </c>
      <c r="J74" s="11">
        <f t="shared" si="8"/>
        <v>0</v>
      </c>
    </row>
    <row r="75" spans="1:10" ht="15.75" customHeight="1" x14ac:dyDescent="0.25"/>
    <row r="76" spans="1:10" ht="15.75" customHeight="1" x14ac:dyDescent="0.25"/>
    <row r="77" spans="1:10" ht="15.75" customHeight="1" x14ac:dyDescent="0.25"/>
    <row r="78" spans="1:10" ht="15.75" customHeight="1" x14ac:dyDescent="0.25"/>
    <row r="79" spans="1:10" ht="15.75" customHeight="1" x14ac:dyDescent="0.25"/>
    <row r="80" spans="1:1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J1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2578125" defaultRowHeight="15" customHeight="1" x14ac:dyDescent="0.25"/>
  <cols>
    <col min="1" max="1" width="7" customWidth="1"/>
    <col min="2" max="2" width="5" customWidth="1"/>
    <col min="3" max="3" width="22" customWidth="1"/>
    <col min="4" max="9" width="6" customWidth="1"/>
    <col min="10" max="11" width="7" customWidth="1"/>
    <col min="12" max="12" width="11" customWidth="1"/>
    <col min="13" max="26" width="8.7109375" customWidth="1"/>
  </cols>
  <sheetData>
    <row r="1" spans="1:12" ht="24" customHeight="1" x14ac:dyDescent="0.25">
      <c r="A1" s="34" t="s">
        <v>450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15" customHeight="1" x14ac:dyDescent="0.25">
      <c r="A2" s="7" t="s">
        <v>112</v>
      </c>
      <c r="B2" s="7" t="s">
        <v>451</v>
      </c>
      <c r="C2" s="7" t="s">
        <v>110</v>
      </c>
      <c r="D2" s="7" t="s">
        <v>236</v>
      </c>
      <c r="E2" s="7" t="s">
        <v>237</v>
      </c>
      <c r="F2" s="7" t="s">
        <v>238</v>
      </c>
      <c r="G2" s="7" t="s">
        <v>239</v>
      </c>
      <c r="H2" s="7" t="s">
        <v>240</v>
      </c>
      <c r="I2" s="7" t="s">
        <v>241</v>
      </c>
      <c r="J2" s="7" t="s">
        <v>242</v>
      </c>
      <c r="K2" s="7" t="s">
        <v>424</v>
      </c>
      <c r="L2" s="7" t="s">
        <v>452</v>
      </c>
    </row>
    <row r="3" spans="1:12" ht="15" customHeight="1" x14ac:dyDescent="0.25">
      <c r="A3" s="8" t="s">
        <v>121</v>
      </c>
      <c r="B3" s="8">
        <v>1</v>
      </c>
      <c r="C3" s="29" t="s">
        <v>119</v>
      </c>
      <c r="D3" s="8">
        <f>SUMPRODUCT((Fixture_Grupos!$D$3:$D$74=$C3)*Fixture_Grupos!$H$3:$H$74)+SUMPRODUCT((Fixture_Grupos!$E$3:$E$74=$C3)*Fixture_Grupos!$H$3:$H$74)</f>
        <v>3</v>
      </c>
      <c r="E3" s="8">
        <f>SUMPRODUCT((Fixture_Grupos!$D$3:$D$74=$C3)*Fixture_Grupos!$H$3:$H$74*(Fixture_Grupos!$F$3:$F$74&gt;Fixture_Grupos!$G$3:$G$74))+SUMPRODUCT((Fixture_Grupos!$E$3:$E$74=$C3)*Fixture_Grupos!$H$3:$H$74*(Fixture_Grupos!$G$3:$G$74&gt;Fixture_Grupos!$F$3:$F$74))</f>
        <v>3</v>
      </c>
      <c r="F3" s="8">
        <f>SUMPRODUCT((Fixture_Grupos!$D$3:$D$74=$C3)*Fixture_Grupos!$H$3:$H$74*(Fixture_Grupos!$F$3:$F$74=Fixture_Grupos!$G$3:$G$74))+SUMPRODUCT((Fixture_Grupos!$E$3:$E$74=$C3)*Fixture_Grupos!$H$3:$H$74*(Fixture_Grupos!$G$3:$G$74=Fixture_Grupos!$F$3:$F$74))</f>
        <v>0</v>
      </c>
      <c r="G3" s="8">
        <f>SUMPRODUCT((Fixture_Grupos!$D$3:$D$74=$C3)*Fixture_Grupos!$H$3:$H$74*(Fixture_Grupos!$F$3:$F$74&lt;Fixture_Grupos!$G$3:$G$74))+SUMPRODUCT((Fixture_Grupos!$E$3:$E$74=$C3)*Fixture_Grupos!$H$3:$H$74*(Fixture_Grupos!$G$3:$G$74&lt;Fixture_Grupos!$F$3:$F$74))</f>
        <v>0</v>
      </c>
      <c r="H3" s="8">
        <f>SUMPRODUCT((Fixture_Grupos!$D$3:$D$74=$C3)*Fixture_Grupos!$H$3:$H$74*Fixture_Grupos!$F$3:$F$74)+SUMPRODUCT((Fixture_Grupos!$E$3:$E$74=$C3)*Fixture_Grupos!$H$3:$H$74*Fixture_Grupos!$G$3:$G$74)</f>
        <v>6</v>
      </c>
      <c r="I3" s="8">
        <f>SUMPRODUCT((Fixture_Grupos!$D$3:$D$74=$C3)*Fixture_Grupos!$H$3:$H$74*Fixture_Grupos!$G$3:$G$74)+SUMPRODUCT((Fixture_Grupos!$E$3:$E$74=$C3)*Fixture_Grupos!$H$3:$H$74*Fixture_Grupos!$F$3:$F$74)</f>
        <v>0</v>
      </c>
      <c r="J3" s="8">
        <f t="shared" ref="J3:J50" si="0">H3-I3</f>
        <v>6</v>
      </c>
      <c r="K3" s="8">
        <f t="shared" ref="K3:K50" si="1">3*E3+F3</f>
        <v>9</v>
      </c>
      <c r="L3" s="8">
        <f>SUMPRODUCT(--(($K$3:$K$6*1000+$J$3:$J$6*10+$H$3:$H$6)&gt;($K3*1000+$J3*10+$H3)))+1</f>
        <v>1</v>
      </c>
    </row>
    <row r="4" spans="1:12" ht="15" customHeight="1" x14ac:dyDescent="0.25">
      <c r="A4" s="8" t="s">
        <v>121</v>
      </c>
      <c r="B4" s="8">
        <v>2</v>
      </c>
      <c r="C4" s="29" t="s">
        <v>125</v>
      </c>
      <c r="D4" s="8">
        <f>SUMPRODUCT((Fixture_Grupos!$D$3:$D$74=$C4)*Fixture_Grupos!$H$3:$H$74)+SUMPRODUCT((Fixture_Grupos!$E$3:$E$74=$C4)*Fixture_Grupos!$H$3:$H$74)</f>
        <v>3</v>
      </c>
      <c r="E4" s="8">
        <f>SUMPRODUCT((Fixture_Grupos!$D$3:$D$74=$C4)*Fixture_Grupos!$H$3:$H$74*(Fixture_Grupos!$F$3:$F$74&gt;Fixture_Grupos!$G$3:$G$74))+SUMPRODUCT((Fixture_Grupos!$E$3:$E$74=$C4)*Fixture_Grupos!$H$3:$H$74*(Fixture_Grupos!$G$3:$G$74&gt;Fixture_Grupos!$F$3:$F$74))</f>
        <v>1</v>
      </c>
      <c r="F4" s="8">
        <f>SUMPRODUCT((Fixture_Grupos!$D$3:$D$74=$C4)*Fixture_Grupos!$H$3:$H$74*(Fixture_Grupos!$F$3:$F$74=Fixture_Grupos!$G$3:$G$74))+SUMPRODUCT((Fixture_Grupos!$E$3:$E$74=$C4)*Fixture_Grupos!$H$3:$H$74*(Fixture_Grupos!$G$3:$G$74=Fixture_Grupos!$F$3:$F$74))</f>
        <v>1</v>
      </c>
      <c r="G4" s="8">
        <f>SUMPRODUCT((Fixture_Grupos!$D$3:$D$74=$C4)*Fixture_Grupos!$H$3:$H$74*(Fixture_Grupos!$F$3:$F$74&lt;Fixture_Grupos!$G$3:$G$74))+SUMPRODUCT((Fixture_Grupos!$E$3:$E$74=$C4)*Fixture_Grupos!$H$3:$H$74*(Fixture_Grupos!$G$3:$G$74&lt;Fixture_Grupos!$F$3:$F$74))</f>
        <v>1</v>
      </c>
      <c r="H4" s="8">
        <f>SUMPRODUCT((Fixture_Grupos!$D$3:$D$74=$C4)*Fixture_Grupos!$H$3:$H$74*Fixture_Grupos!$F$3:$F$74)+SUMPRODUCT((Fixture_Grupos!$E$3:$E$74=$C4)*Fixture_Grupos!$H$3:$H$74*Fixture_Grupos!$G$3:$G$74)</f>
        <v>2</v>
      </c>
      <c r="I4" s="8">
        <f>SUMPRODUCT((Fixture_Grupos!$D$3:$D$74=$C4)*Fixture_Grupos!$H$3:$H$74*Fixture_Grupos!$G$3:$G$74)+SUMPRODUCT((Fixture_Grupos!$E$3:$E$74=$C4)*Fixture_Grupos!$H$3:$H$74*Fixture_Grupos!$F$3:$F$74)</f>
        <v>3</v>
      </c>
      <c r="J4" s="8">
        <f t="shared" si="0"/>
        <v>-1</v>
      </c>
      <c r="K4" s="8">
        <f t="shared" si="1"/>
        <v>4</v>
      </c>
      <c r="L4" s="8">
        <f>SUMPRODUCT(--(($K$3:$K$6*1000+$J$3:$J$6*10+$H$3:$H$6)&gt;($K4*1000+$J4*10+$H4)))+1</f>
        <v>2</v>
      </c>
    </row>
    <row r="5" spans="1:12" ht="15" customHeight="1" x14ac:dyDescent="0.25">
      <c r="A5" s="8" t="s">
        <v>121</v>
      </c>
      <c r="B5" s="8">
        <v>3</v>
      </c>
      <c r="C5" s="29" t="s">
        <v>128</v>
      </c>
      <c r="D5" s="8">
        <f>SUMPRODUCT((Fixture_Grupos!$D$3:$D$74=$C5)*Fixture_Grupos!$H$3:$H$74)+SUMPRODUCT((Fixture_Grupos!$E$3:$E$74=$C5)*Fixture_Grupos!$H$3:$H$74)</f>
        <v>3</v>
      </c>
      <c r="E5" s="8">
        <f>SUMPRODUCT((Fixture_Grupos!$D$3:$D$74=$C5)*Fixture_Grupos!$H$3:$H$74*(Fixture_Grupos!$F$3:$F$74&gt;Fixture_Grupos!$G$3:$G$74))+SUMPRODUCT((Fixture_Grupos!$E$3:$E$74=$C5)*Fixture_Grupos!$H$3:$H$74*(Fixture_Grupos!$G$3:$G$74&gt;Fixture_Grupos!$F$3:$F$74))</f>
        <v>1</v>
      </c>
      <c r="F5" s="8">
        <f>SUMPRODUCT((Fixture_Grupos!$D$3:$D$74=$C5)*Fixture_Grupos!$H$3:$H$74*(Fixture_Grupos!$F$3:$F$74=Fixture_Grupos!$G$3:$G$74))+SUMPRODUCT((Fixture_Grupos!$E$3:$E$74=$C5)*Fixture_Grupos!$H$3:$H$74*(Fixture_Grupos!$G$3:$G$74=Fixture_Grupos!$F$3:$F$74))</f>
        <v>0</v>
      </c>
      <c r="G5" s="8">
        <f>SUMPRODUCT((Fixture_Grupos!$D$3:$D$74=$C5)*Fixture_Grupos!$H$3:$H$74*(Fixture_Grupos!$F$3:$F$74&lt;Fixture_Grupos!$G$3:$G$74))+SUMPRODUCT((Fixture_Grupos!$E$3:$E$74=$C5)*Fixture_Grupos!$H$3:$H$74*(Fixture_Grupos!$G$3:$G$74&lt;Fixture_Grupos!$F$3:$F$74))</f>
        <v>2</v>
      </c>
      <c r="H5" s="8">
        <f>SUMPRODUCT((Fixture_Grupos!$D$3:$D$74=$C5)*Fixture_Grupos!$H$3:$H$74*Fixture_Grupos!$F$3:$F$74)+SUMPRODUCT((Fixture_Grupos!$E$3:$E$74=$C5)*Fixture_Grupos!$H$3:$H$74*Fixture_Grupos!$G$3:$G$74)</f>
        <v>2</v>
      </c>
      <c r="I5" s="8">
        <f>SUMPRODUCT((Fixture_Grupos!$D$3:$D$74=$C5)*Fixture_Grupos!$H$3:$H$74*Fixture_Grupos!$G$3:$G$74)+SUMPRODUCT((Fixture_Grupos!$E$3:$E$74=$C5)*Fixture_Grupos!$H$3:$H$74*Fixture_Grupos!$F$3:$F$74)</f>
        <v>3</v>
      </c>
      <c r="J5" s="8">
        <f t="shared" si="0"/>
        <v>-1</v>
      </c>
      <c r="K5" s="8">
        <f t="shared" si="1"/>
        <v>3</v>
      </c>
      <c r="L5" s="8">
        <f>SUMPRODUCT(--(($K$3:$K$6*1000+$J$3:$J$6*10+$H$3:$H$6)&gt;($K5*1000+$J5*10+$H5)))+1</f>
        <v>3</v>
      </c>
    </row>
    <row r="6" spans="1:12" ht="15" customHeight="1" x14ac:dyDescent="0.25">
      <c r="A6" s="8" t="s">
        <v>121</v>
      </c>
      <c r="B6" s="8">
        <v>4</v>
      </c>
      <c r="C6" s="29" t="s">
        <v>131</v>
      </c>
      <c r="D6" s="8">
        <f>SUMPRODUCT((Fixture_Grupos!$D$3:$D$74=$C6)*Fixture_Grupos!$H$3:$H$74)+SUMPRODUCT((Fixture_Grupos!$E$3:$E$74=$C6)*Fixture_Grupos!$H$3:$H$74)</f>
        <v>3</v>
      </c>
      <c r="E6" s="8">
        <f>SUMPRODUCT((Fixture_Grupos!$D$3:$D$74=$C6)*Fixture_Grupos!$H$3:$H$74*(Fixture_Grupos!$F$3:$F$74&gt;Fixture_Grupos!$G$3:$G$74))+SUMPRODUCT((Fixture_Grupos!$E$3:$E$74=$C6)*Fixture_Grupos!$H$3:$H$74*(Fixture_Grupos!$G$3:$G$74&gt;Fixture_Grupos!$F$3:$F$74))</f>
        <v>0</v>
      </c>
      <c r="F6" s="8">
        <f>SUMPRODUCT((Fixture_Grupos!$D$3:$D$74=$C6)*Fixture_Grupos!$H$3:$H$74*(Fixture_Grupos!$F$3:$F$74=Fixture_Grupos!$G$3:$G$74))+SUMPRODUCT((Fixture_Grupos!$E$3:$E$74=$C6)*Fixture_Grupos!$H$3:$H$74*(Fixture_Grupos!$G$3:$G$74=Fixture_Grupos!$F$3:$F$74))</f>
        <v>1</v>
      </c>
      <c r="G6" s="8">
        <f>SUMPRODUCT((Fixture_Grupos!$D$3:$D$74=$C6)*Fixture_Grupos!$H$3:$H$74*(Fixture_Grupos!$F$3:$F$74&lt;Fixture_Grupos!$G$3:$G$74))+SUMPRODUCT((Fixture_Grupos!$E$3:$E$74=$C6)*Fixture_Grupos!$H$3:$H$74*(Fixture_Grupos!$G$3:$G$74&lt;Fixture_Grupos!$F$3:$F$74))</f>
        <v>2</v>
      </c>
      <c r="H6" s="8">
        <f>SUMPRODUCT((Fixture_Grupos!$D$3:$D$74=$C6)*Fixture_Grupos!$H$3:$H$74*Fixture_Grupos!$F$3:$F$74)+SUMPRODUCT((Fixture_Grupos!$E$3:$E$74=$C6)*Fixture_Grupos!$H$3:$H$74*Fixture_Grupos!$G$3:$G$74)</f>
        <v>2</v>
      </c>
      <c r="I6" s="8">
        <f>SUMPRODUCT((Fixture_Grupos!$D$3:$D$74=$C6)*Fixture_Grupos!$H$3:$H$74*Fixture_Grupos!$G$3:$G$74)+SUMPRODUCT((Fixture_Grupos!$E$3:$E$74=$C6)*Fixture_Grupos!$H$3:$H$74*Fixture_Grupos!$F$3:$F$74)</f>
        <v>6</v>
      </c>
      <c r="J6" s="8">
        <f t="shared" si="0"/>
        <v>-4</v>
      </c>
      <c r="K6" s="8">
        <f t="shared" si="1"/>
        <v>1</v>
      </c>
      <c r="L6" s="8">
        <f>SUMPRODUCT(--(($K$3:$K$6*1000+$J$3:$J$6*10+$H$3:$H$6)&gt;($K6*1000+$J6*10+$H6)))+1</f>
        <v>4</v>
      </c>
    </row>
    <row r="7" spans="1:12" ht="15" customHeight="1" x14ac:dyDescent="0.25">
      <c r="A7" s="11" t="s">
        <v>136</v>
      </c>
      <c r="B7" s="11">
        <v>1</v>
      </c>
      <c r="C7" s="30" t="s">
        <v>134</v>
      </c>
      <c r="D7" s="11">
        <f>SUMPRODUCT((Fixture_Grupos!$D$3:$D$74=$C7)*Fixture_Grupos!$H$3:$H$74)+SUMPRODUCT((Fixture_Grupos!$E$3:$E$74=$C7)*Fixture_Grupos!$H$3:$H$74)</f>
        <v>3</v>
      </c>
      <c r="E7" s="11">
        <f>SUMPRODUCT((Fixture_Grupos!$D$3:$D$74=$C7)*Fixture_Grupos!$H$3:$H$74*(Fixture_Grupos!$F$3:$F$74&gt;Fixture_Grupos!$G$3:$G$74))+SUMPRODUCT((Fixture_Grupos!$E$3:$E$74=$C7)*Fixture_Grupos!$H$3:$H$74*(Fixture_Grupos!$G$3:$G$74&gt;Fixture_Grupos!$F$3:$F$74))</f>
        <v>1</v>
      </c>
      <c r="F7" s="11">
        <f>SUMPRODUCT((Fixture_Grupos!$D$3:$D$74=$C7)*Fixture_Grupos!$H$3:$H$74*(Fixture_Grupos!$F$3:$F$74=Fixture_Grupos!$G$3:$G$74))+SUMPRODUCT((Fixture_Grupos!$E$3:$E$74=$C7)*Fixture_Grupos!$H$3:$H$74*(Fixture_Grupos!$G$3:$G$74=Fixture_Grupos!$F$3:$F$74))</f>
        <v>1</v>
      </c>
      <c r="G7" s="11">
        <f>SUMPRODUCT((Fixture_Grupos!$D$3:$D$74=$C7)*Fixture_Grupos!$H$3:$H$74*(Fixture_Grupos!$F$3:$F$74&lt;Fixture_Grupos!$G$3:$G$74))+SUMPRODUCT((Fixture_Grupos!$E$3:$E$74=$C7)*Fixture_Grupos!$H$3:$H$74*(Fixture_Grupos!$G$3:$G$74&lt;Fixture_Grupos!$F$3:$F$74))</f>
        <v>1</v>
      </c>
      <c r="H7" s="11">
        <f>SUMPRODUCT((Fixture_Grupos!$D$3:$D$74=$C7)*Fixture_Grupos!$H$3:$H$74*Fixture_Grupos!$F$3:$F$74)+SUMPRODUCT((Fixture_Grupos!$E$3:$E$74=$C7)*Fixture_Grupos!$H$3:$H$74*Fixture_Grupos!$G$3:$G$74)</f>
        <v>8</v>
      </c>
      <c r="I7" s="11">
        <f>SUMPRODUCT((Fixture_Grupos!$D$3:$D$74=$C7)*Fixture_Grupos!$H$3:$H$74*Fixture_Grupos!$G$3:$G$74)+SUMPRODUCT((Fixture_Grupos!$E$3:$E$74=$C7)*Fixture_Grupos!$H$3:$H$74*Fixture_Grupos!$F$3:$F$74)</f>
        <v>3</v>
      </c>
      <c r="J7" s="11">
        <f t="shared" si="0"/>
        <v>5</v>
      </c>
      <c r="K7" s="11">
        <f t="shared" si="1"/>
        <v>4</v>
      </c>
      <c r="L7" s="11">
        <f>SUMPRODUCT(--(($K$7:$K$10*1000+$J$7:$J$10*10+$H$7:$H$10)&gt;($K7*1000+$J7*10+$H7)))+1</f>
        <v>2</v>
      </c>
    </row>
    <row r="8" spans="1:12" ht="15" customHeight="1" x14ac:dyDescent="0.25">
      <c r="A8" s="11" t="s">
        <v>136</v>
      </c>
      <c r="B8" s="11">
        <v>2</v>
      </c>
      <c r="C8" s="30" t="s">
        <v>38</v>
      </c>
      <c r="D8" s="11">
        <f>SUMPRODUCT((Fixture_Grupos!$D$3:$D$74=$C8)*Fixture_Grupos!$H$3:$H$74)+SUMPRODUCT((Fixture_Grupos!$E$3:$E$74=$C8)*Fixture_Grupos!$H$3:$H$74)</f>
        <v>3</v>
      </c>
      <c r="E8" s="11">
        <f>SUMPRODUCT((Fixture_Grupos!$D$3:$D$74=$C8)*Fixture_Grupos!$H$3:$H$74*(Fixture_Grupos!$F$3:$F$74&gt;Fixture_Grupos!$G$3:$G$74))+SUMPRODUCT((Fixture_Grupos!$E$3:$E$74=$C8)*Fixture_Grupos!$H$3:$H$74*(Fixture_Grupos!$G$3:$G$74&gt;Fixture_Grupos!$F$3:$F$74))</f>
        <v>1</v>
      </c>
      <c r="F8" s="11">
        <f>SUMPRODUCT((Fixture_Grupos!$D$3:$D$74=$C8)*Fixture_Grupos!$H$3:$H$74*(Fixture_Grupos!$F$3:$F$74=Fixture_Grupos!$G$3:$G$74))+SUMPRODUCT((Fixture_Grupos!$E$3:$E$74=$C8)*Fixture_Grupos!$H$3:$H$74*(Fixture_Grupos!$G$3:$G$74=Fixture_Grupos!$F$3:$F$74))</f>
        <v>1</v>
      </c>
      <c r="G8" s="11">
        <f>SUMPRODUCT((Fixture_Grupos!$D$3:$D$74=$C8)*Fixture_Grupos!$H$3:$H$74*(Fixture_Grupos!$F$3:$F$74&lt;Fixture_Grupos!$G$3:$G$74))+SUMPRODUCT((Fixture_Grupos!$E$3:$E$74=$C8)*Fixture_Grupos!$H$3:$H$74*(Fixture_Grupos!$G$3:$G$74&lt;Fixture_Grupos!$F$3:$F$74))</f>
        <v>1</v>
      </c>
      <c r="H8" s="11">
        <f>SUMPRODUCT((Fixture_Grupos!$D$3:$D$74=$C8)*Fixture_Grupos!$H$3:$H$74*Fixture_Grupos!$F$3:$F$74)+SUMPRODUCT((Fixture_Grupos!$E$3:$E$74=$C8)*Fixture_Grupos!$H$3:$H$74*Fixture_Grupos!$G$3:$G$74)</f>
        <v>5</v>
      </c>
      <c r="I8" s="11">
        <f>SUMPRODUCT((Fixture_Grupos!$D$3:$D$74=$C8)*Fixture_Grupos!$H$3:$H$74*Fixture_Grupos!$G$3:$G$74)+SUMPRODUCT((Fixture_Grupos!$E$3:$E$74=$C8)*Fixture_Grupos!$H$3:$H$74*Fixture_Grupos!$F$3:$F$74)</f>
        <v>6</v>
      </c>
      <c r="J8" s="11">
        <f t="shared" si="0"/>
        <v>-1</v>
      </c>
      <c r="K8" s="11">
        <f t="shared" si="1"/>
        <v>4</v>
      </c>
      <c r="L8" s="11">
        <f>SUMPRODUCT(--(($K$7:$K$10*1000+$J$7:$J$10*10+$H$7:$H$10)&gt;($K8*1000+$J8*10+$H8)))+1</f>
        <v>3</v>
      </c>
    </row>
    <row r="9" spans="1:12" ht="15" customHeight="1" x14ac:dyDescent="0.25">
      <c r="A9" s="11" t="s">
        <v>136</v>
      </c>
      <c r="B9" s="11">
        <v>3</v>
      </c>
      <c r="C9" s="30" t="s">
        <v>138</v>
      </c>
      <c r="D9" s="11">
        <f>SUMPRODUCT((Fixture_Grupos!$D$3:$D$74=$C9)*Fixture_Grupos!$H$3:$H$74)+SUMPRODUCT((Fixture_Grupos!$E$3:$E$74=$C9)*Fixture_Grupos!$H$3:$H$74)</f>
        <v>3</v>
      </c>
      <c r="E9" s="11">
        <f>SUMPRODUCT((Fixture_Grupos!$D$3:$D$74=$C9)*Fixture_Grupos!$H$3:$H$74*(Fixture_Grupos!$F$3:$F$74&gt;Fixture_Grupos!$G$3:$G$74))+SUMPRODUCT((Fixture_Grupos!$E$3:$E$74=$C9)*Fixture_Grupos!$H$3:$H$74*(Fixture_Grupos!$G$3:$G$74&gt;Fixture_Grupos!$F$3:$F$74))</f>
        <v>0</v>
      </c>
      <c r="F9" s="11">
        <f>SUMPRODUCT((Fixture_Grupos!$D$3:$D$74=$C9)*Fixture_Grupos!$H$3:$H$74*(Fixture_Grupos!$F$3:$F$74=Fixture_Grupos!$G$3:$G$74))+SUMPRODUCT((Fixture_Grupos!$E$3:$E$74=$C9)*Fixture_Grupos!$H$3:$H$74*(Fixture_Grupos!$G$3:$G$74=Fixture_Grupos!$F$3:$F$74))</f>
        <v>1</v>
      </c>
      <c r="G9" s="11">
        <f>SUMPRODUCT((Fixture_Grupos!$D$3:$D$74=$C9)*Fixture_Grupos!$H$3:$H$74*(Fixture_Grupos!$F$3:$F$74&lt;Fixture_Grupos!$G$3:$G$74))+SUMPRODUCT((Fixture_Grupos!$E$3:$E$74=$C9)*Fixture_Grupos!$H$3:$H$74*(Fixture_Grupos!$G$3:$G$74&lt;Fixture_Grupos!$F$3:$F$74))</f>
        <v>2</v>
      </c>
      <c r="H9" s="11">
        <f>SUMPRODUCT((Fixture_Grupos!$D$3:$D$74=$C9)*Fixture_Grupos!$H$3:$H$74*Fixture_Grupos!$F$3:$F$74)+SUMPRODUCT((Fixture_Grupos!$E$3:$E$74=$C9)*Fixture_Grupos!$H$3:$H$74*Fixture_Grupos!$G$3:$G$74)</f>
        <v>2</v>
      </c>
      <c r="I9" s="11">
        <f>SUMPRODUCT((Fixture_Grupos!$D$3:$D$74=$C9)*Fixture_Grupos!$H$3:$H$74*Fixture_Grupos!$G$3:$G$74)+SUMPRODUCT((Fixture_Grupos!$E$3:$E$74=$C9)*Fixture_Grupos!$H$3:$H$74*Fixture_Grupos!$F$3:$F$74)</f>
        <v>10</v>
      </c>
      <c r="J9" s="11">
        <f t="shared" si="0"/>
        <v>-8</v>
      </c>
      <c r="K9" s="11">
        <f t="shared" si="1"/>
        <v>1</v>
      </c>
      <c r="L9" s="11">
        <f>SUMPRODUCT(--(($K$7:$K$10*1000+$J$7:$J$10*10+$H$7:$H$10)&gt;($K9*1000+$J9*10+$H9)))+1</f>
        <v>4</v>
      </c>
    </row>
    <row r="10" spans="1:12" ht="15" customHeight="1" x14ac:dyDescent="0.25">
      <c r="A10" s="11" t="s">
        <v>136</v>
      </c>
      <c r="B10" s="11">
        <v>4</v>
      </c>
      <c r="C10" s="30" t="s">
        <v>140</v>
      </c>
      <c r="D10" s="11">
        <f>SUMPRODUCT((Fixture_Grupos!$D$3:$D$74=$C10)*Fixture_Grupos!$H$3:$H$74)+SUMPRODUCT((Fixture_Grupos!$E$3:$E$74=$C10)*Fixture_Grupos!$H$3:$H$74)</f>
        <v>3</v>
      </c>
      <c r="E10" s="11">
        <f>SUMPRODUCT((Fixture_Grupos!$D$3:$D$74=$C10)*Fixture_Grupos!$H$3:$H$74*(Fixture_Grupos!$F$3:$F$74&gt;Fixture_Grupos!$G$3:$G$74))+SUMPRODUCT((Fixture_Grupos!$E$3:$E$74=$C10)*Fixture_Grupos!$H$3:$H$74*(Fixture_Grupos!$G$3:$G$74&gt;Fixture_Grupos!$F$3:$F$74))</f>
        <v>2</v>
      </c>
      <c r="F10" s="11">
        <f>SUMPRODUCT((Fixture_Grupos!$D$3:$D$74=$C10)*Fixture_Grupos!$H$3:$H$74*(Fixture_Grupos!$F$3:$F$74=Fixture_Grupos!$G$3:$G$74))+SUMPRODUCT((Fixture_Grupos!$E$3:$E$74=$C10)*Fixture_Grupos!$H$3:$H$74*(Fixture_Grupos!$G$3:$G$74=Fixture_Grupos!$F$3:$F$74))</f>
        <v>1</v>
      </c>
      <c r="G10" s="11">
        <f>SUMPRODUCT((Fixture_Grupos!$D$3:$D$74=$C10)*Fixture_Grupos!$H$3:$H$74*(Fixture_Grupos!$F$3:$F$74&lt;Fixture_Grupos!$G$3:$G$74))+SUMPRODUCT((Fixture_Grupos!$E$3:$E$74=$C10)*Fixture_Grupos!$H$3:$H$74*(Fixture_Grupos!$G$3:$G$74&lt;Fixture_Grupos!$F$3:$F$74))</f>
        <v>0</v>
      </c>
      <c r="H10" s="11">
        <f>SUMPRODUCT((Fixture_Grupos!$D$3:$D$74=$C10)*Fixture_Grupos!$H$3:$H$74*Fixture_Grupos!$F$3:$F$74)+SUMPRODUCT((Fixture_Grupos!$E$3:$E$74=$C10)*Fixture_Grupos!$H$3:$H$74*Fixture_Grupos!$G$3:$G$74)</f>
        <v>7</v>
      </c>
      <c r="I10" s="11">
        <f>SUMPRODUCT((Fixture_Grupos!$D$3:$D$74=$C10)*Fixture_Grupos!$H$3:$H$74*Fixture_Grupos!$G$3:$G$74)+SUMPRODUCT((Fixture_Grupos!$E$3:$E$74=$C10)*Fixture_Grupos!$H$3:$H$74*Fixture_Grupos!$F$3:$F$74)</f>
        <v>3</v>
      </c>
      <c r="J10" s="11">
        <f t="shared" si="0"/>
        <v>4</v>
      </c>
      <c r="K10" s="11">
        <f t="shared" si="1"/>
        <v>7</v>
      </c>
      <c r="L10" s="11">
        <f>SUMPRODUCT(--(($K$7:$K$10*1000+$J$7:$J$10*10+$H$7:$H$10)&gt;($K10*1000+$J10*10+$H10)))+1</f>
        <v>1</v>
      </c>
    </row>
    <row r="11" spans="1:12" ht="15" customHeight="1" x14ac:dyDescent="0.25">
      <c r="A11" s="8" t="s">
        <v>144</v>
      </c>
      <c r="B11" s="8">
        <v>1</v>
      </c>
      <c r="C11" s="29" t="s">
        <v>142</v>
      </c>
      <c r="D11" s="8">
        <f>SUMPRODUCT((Fixture_Grupos!$D$3:$D$74=$C11)*Fixture_Grupos!$H$3:$H$74)+SUMPRODUCT((Fixture_Grupos!$E$3:$E$74=$C11)*Fixture_Grupos!$H$3:$H$74)</f>
        <v>3</v>
      </c>
      <c r="E11" s="8">
        <f>SUMPRODUCT((Fixture_Grupos!$D$3:$D$74=$C11)*Fixture_Grupos!$H$3:$H$74*(Fixture_Grupos!$F$3:$F$74&gt;Fixture_Grupos!$G$3:$G$74))+SUMPRODUCT((Fixture_Grupos!$E$3:$E$74=$C11)*Fixture_Grupos!$H$3:$H$74*(Fixture_Grupos!$G$3:$G$74&gt;Fixture_Grupos!$F$3:$F$74))</f>
        <v>2</v>
      </c>
      <c r="F11" s="8">
        <f>SUMPRODUCT((Fixture_Grupos!$D$3:$D$74=$C11)*Fixture_Grupos!$H$3:$H$74*(Fixture_Grupos!$F$3:$F$74=Fixture_Grupos!$G$3:$G$74))+SUMPRODUCT((Fixture_Grupos!$E$3:$E$74=$C11)*Fixture_Grupos!$H$3:$H$74*(Fixture_Grupos!$G$3:$G$74=Fixture_Grupos!$F$3:$F$74))</f>
        <v>1</v>
      </c>
      <c r="G11" s="8">
        <f>SUMPRODUCT((Fixture_Grupos!$D$3:$D$74=$C11)*Fixture_Grupos!$H$3:$H$74*(Fixture_Grupos!$F$3:$F$74&lt;Fixture_Grupos!$G$3:$G$74))+SUMPRODUCT((Fixture_Grupos!$E$3:$E$74=$C11)*Fixture_Grupos!$H$3:$H$74*(Fixture_Grupos!$G$3:$G$74&lt;Fixture_Grupos!$F$3:$F$74))</f>
        <v>0</v>
      </c>
      <c r="H11" s="8">
        <f>SUMPRODUCT((Fixture_Grupos!$D$3:$D$74=$C11)*Fixture_Grupos!$H$3:$H$74*Fixture_Grupos!$F$3:$F$74)+SUMPRODUCT((Fixture_Grupos!$E$3:$E$74=$C11)*Fixture_Grupos!$H$3:$H$74*Fixture_Grupos!$G$3:$G$74)</f>
        <v>7</v>
      </c>
      <c r="I11" s="8">
        <f>SUMPRODUCT((Fixture_Grupos!$D$3:$D$74=$C11)*Fixture_Grupos!$H$3:$H$74*Fixture_Grupos!$G$3:$G$74)+SUMPRODUCT((Fixture_Grupos!$E$3:$E$74=$C11)*Fixture_Grupos!$H$3:$H$74*Fixture_Grupos!$F$3:$F$74)</f>
        <v>1</v>
      </c>
      <c r="J11" s="8">
        <f t="shared" si="0"/>
        <v>6</v>
      </c>
      <c r="K11" s="8">
        <f t="shared" si="1"/>
        <v>7</v>
      </c>
      <c r="L11" s="8">
        <f>SUMPRODUCT(--(($K$11:$K$14*1000+$J$11:$J$14*10+$H$11:$H$14)&gt;($K11*1000+$J11*10+$H11)))+1</f>
        <v>1</v>
      </c>
    </row>
    <row r="12" spans="1:12" ht="15" customHeight="1" x14ac:dyDescent="0.25">
      <c r="A12" s="8" t="s">
        <v>144</v>
      </c>
      <c r="B12" s="8">
        <v>2</v>
      </c>
      <c r="C12" s="29" t="s">
        <v>146</v>
      </c>
      <c r="D12" s="8">
        <f>SUMPRODUCT((Fixture_Grupos!$D$3:$D$74=$C12)*Fixture_Grupos!$H$3:$H$74)+SUMPRODUCT((Fixture_Grupos!$E$3:$E$74=$C12)*Fixture_Grupos!$H$3:$H$74)</f>
        <v>3</v>
      </c>
      <c r="E12" s="8">
        <f>SUMPRODUCT((Fixture_Grupos!$D$3:$D$74=$C12)*Fixture_Grupos!$H$3:$H$74*(Fixture_Grupos!$F$3:$F$74&gt;Fixture_Grupos!$G$3:$G$74))+SUMPRODUCT((Fixture_Grupos!$E$3:$E$74=$C12)*Fixture_Grupos!$H$3:$H$74*(Fixture_Grupos!$G$3:$G$74&gt;Fixture_Grupos!$F$3:$F$74))</f>
        <v>2</v>
      </c>
      <c r="F12" s="8">
        <f>SUMPRODUCT((Fixture_Grupos!$D$3:$D$74=$C12)*Fixture_Grupos!$H$3:$H$74*(Fixture_Grupos!$F$3:$F$74=Fixture_Grupos!$G$3:$G$74))+SUMPRODUCT((Fixture_Grupos!$E$3:$E$74=$C12)*Fixture_Grupos!$H$3:$H$74*(Fixture_Grupos!$G$3:$G$74=Fixture_Grupos!$F$3:$F$74))</f>
        <v>1</v>
      </c>
      <c r="G12" s="8">
        <f>SUMPRODUCT((Fixture_Grupos!$D$3:$D$74=$C12)*Fixture_Grupos!$H$3:$H$74*(Fixture_Grupos!$F$3:$F$74&lt;Fixture_Grupos!$G$3:$G$74))+SUMPRODUCT((Fixture_Grupos!$E$3:$E$74=$C12)*Fixture_Grupos!$H$3:$H$74*(Fixture_Grupos!$G$3:$G$74&lt;Fixture_Grupos!$F$3:$F$74))</f>
        <v>0</v>
      </c>
      <c r="H12" s="8">
        <f>SUMPRODUCT((Fixture_Grupos!$D$3:$D$74=$C12)*Fixture_Grupos!$H$3:$H$74*Fixture_Grupos!$F$3:$F$74)+SUMPRODUCT((Fixture_Grupos!$E$3:$E$74=$C12)*Fixture_Grupos!$H$3:$H$74*Fixture_Grupos!$G$3:$G$74)</f>
        <v>6</v>
      </c>
      <c r="I12" s="8">
        <f>SUMPRODUCT((Fixture_Grupos!$D$3:$D$74=$C12)*Fixture_Grupos!$H$3:$H$74*Fixture_Grupos!$G$3:$G$74)+SUMPRODUCT((Fixture_Grupos!$E$3:$E$74=$C12)*Fixture_Grupos!$H$3:$H$74*Fixture_Grupos!$F$3:$F$74)</f>
        <v>3</v>
      </c>
      <c r="J12" s="8">
        <f t="shared" si="0"/>
        <v>3</v>
      </c>
      <c r="K12" s="8">
        <f t="shared" si="1"/>
        <v>7</v>
      </c>
      <c r="L12" s="8">
        <f>SUMPRODUCT(--(($K$11:$K$14*1000+$J$11:$J$14*10+$H$11:$H$14)&gt;($K12*1000+$J12*10+$H12)))+1</f>
        <v>2</v>
      </c>
    </row>
    <row r="13" spans="1:12" ht="15" customHeight="1" x14ac:dyDescent="0.25">
      <c r="A13" s="8" t="s">
        <v>144</v>
      </c>
      <c r="B13" s="8">
        <v>3</v>
      </c>
      <c r="C13" s="29" t="s">
        <v>148</v>
      </c>
      <c r="D13" s="8">
        <f>SUMPRODUCT((Fixture_Grupos!$D$3:$D$74=$C13)*Fixture_Grupos!$H$3:$H$74)+SUMPRODUCT((Fixture_Grupos!$E$3:$E$74=$C13)*Fixture_Grupos!$H$3:$H$74)</f>
        <v>3</v>
      </c>
      <c r="E13" s="8">
        <f>SUMPRODUCT((Fixture_Grupos!$D$3:$D$74=$C13)*Fixture_Grupos!$H$3:$H$74*(Fixture_Grupos!$F$3:$F$74&gt;Fixture_Grupos!$G$3:$G$74))+SUMPRODUCT((Fixture_Grupos!$E$3:$E$74=$C13)*Fixture_Grupos!$H$3:$H$74*(Fixture_Grupos!$G$3:$G$74&gt;Fixture_Grupos!$F$3:$F$74))</f>
        <v>0</v>
      </c>
      <c r="F13" s="8">
        <f>SUMPRODUCT((Fixture_Grupos!$D$3:$D$74=$C13)*Fixture_Grupos!$H$3:$H$74*(Fixture_Grupos!$F$3:$F$74=Fixture_Grupos!$G$3:$G$74))+SUMPRODUCT((Fixture_Grupos!$E$3:$E$74=$C13)*Fixture_Grupos!$H$3:$H$74*(Fixture_Grupos!$G$3:$G$74=Fixture_Grupos!$F$3:$F$74))</f>
        <v>0</v>
      </c>
      <c r="G13" s="8">
        <f>SUMPRODUCT((Fixture_Grupos!$D$3:$D$74=$C13)*Fixture_Grupos!$H$3:$H$74*(Fixture_Grupos!$F$3:$F$74&lt;Fixture_Grupos!$G$3:$G$74))+SUMPRODUCT((Fixture_Grupos!$E$3:$E$74=$C13)*Fixture_Grupos!$H$3:$H$74*(Fixture_Grupos!$G$3:$G$74&lt;Fixture_Grupos!$F$3:$F$74))</f>
        <v>3</v>
      </c>
      <c r="H13" s="8">
        <f>SUMPRODUCT((Fixture_Grupos!$D$3:$D$74=$C13)*Fixture_Grupos!$H$3:$H$74*Fixture_Grupos!$F$3:$F$74)+SUMPRODUCT((Fixture_Grupos!$E$3:$E$74=$C13)*Fixture_Grupos!$H$3:$H$74*Fixture_Grupos!$G$3:$G$74)</f>
        <v>2</v>
      </c>
      <c r="I13" s="8">
        <f>SUMPRODUCT((Fixture_Grupos!$D$3:$D$74=$C13)*Fixture_Grupos!$H$3:$H$74*Fixture_Grupos!$G$3:$G$74)+SUMPRODUCT((Fixture_Grupos!$E$3:$E$74=$C13)*Fixture_Grupos!$H$3:$H$74*Fixture_Grupos!$F$3:$F$74)</f>
        <v>8</v>
      </c>
      <c r="J13" s="8">
        <f t="shared" si="0"/>
        <v>-6</v>
      </c>
      <c r="K13" s="8">
        <f t="shared" si="1"/>
        <v>0</v>
      </c>
      <c r="L13" s="8">
        <f>SUMPRODUCT(--(($K$11:$K$14*1000+$J$11:$J$14*10+$H$11:$H$14)&gt;($K13*1000+$J13*10+$H13)))+1</f>
        <v>4</v>
      </c>
    </row>
    <row r="14" spans="1:12" ht="15" customHeight="1" x14ac:dyDescent="0.25">
      <c r="A14" s="8" t="s">
        <v>144</v>
      </c>
      <c r="B14" s="8">
        <v>4</v>
      </c>
      <c r="C14" s="29" t="s">
        <v>150</v>
      </c>
      <c r="D14" s="8">
        <f>SUMPRODUCT((Fixture_Grupos!$D$3:$D$74=$C14)*Fixture_Grupos!$H$3:$H$74)+SUMPRODUCT((Fixture_Grupos!$E$3:$E$74=$C14)*Fixture_Grupos!$H$3:$H$74)</f>
        <v>3</v>
      </c>
      <c r="E14" s="8">
        <f>SUMPRODUCT((Fixture_Grupos!$D$3:$D$74=$C14)*Fixture_Grupos!$H$3:$H$74*(Fixture_Grupos!$F$3:$F$74&gt;Fixture_Grupos!$G$3:$G$74))+SUMPRODUCT((Fixture_Grupos!$E$3:$E$74=$C14)*Fixture_Grupos!$H$3:$H$74*(Fixture_Grupos!$G$3:$G$74&gt;Fixture_Grupos!$F$3:$F$74))</f>
        <v>1</v>
      </c>
      <c r="F14" s="8">
        <f>SUMPRODUCT((Fixture_Grupos!$D$3:$D$74=$C14)*Fixture_Grupos!$H$3:$H$74*(Fixture_Grupos!$F$3:$F$74=Fixture_Grupos!$G$3:$G$74))+SUMPRODUCT((Fixture_Grupos!$E$3:$E$74=$C14)*Fixture_Grupos!$H$3:$H$74*(Fixture_Grupos!$G$3:$G$74=Fixture_Grupos!$F$3:$F$74))</f>
        <v>0</v>
      </c>
      <c r="G14" s="8">
        <f>SUMPRODUCT((Fixture_Grupos!$D$3:$D$74=$C14)*Fixture_Grupos!$H$3:$H$74*(Fixture_Grupos!$F$3:$F$74&lt;Fixture_Grupos!$G$3:$G$74))+SUMPRODUCT((Fixture_Grupos!$E$3:$E$74=$C14)*Fixture_Grupos!$H$3:$H$74*(Fixture_Grupos!$G$3:$G$74&lt;Fixture_Grupos!$F$3:$F$74))</f>
        <v>2</v>
      </c>
      <c r="H14" s="8">
        <f>SUMPRODUCT((Fixture_Grupos!$D$3:$D$74=$C14)*Fixture_Grupos!$H$3:$H$74*Fixture_Grupos!$F$3:$F$74)+SUMPRODUCT((Fixture_Grupos!$E$3:$E$74=$C14)*Fixture_Grupos!$H$3:$H$74*Fixture_Grupos!$G$3:$G$74)</f>
        <v>1</v>
      </c>
      <c r="I14" s="8">
        <f>SUMPRODUCT((Fixture_Grupos!$D$3:$D$74=$C14)*Fixture_Grupos!$H$3:$H$74*Fixture_Grupos!$G$3:$G$74)+SUMPRODUCT((Fixture_Grupos!$E$3:$E$74=$C14)*Fixture_Grupos!$H$3:$H$74*Fixture_Grupos!$F$3:$F$74)</f>
        <v>4</v>
      </c>
      <c r="J14" s="8">
        <f t="shared" si="0"/>
        <v>-3</v>
      </c>
      <c r="K14" s="8">
        <f t="shared" si="1"/>
        <v>3</v>
      </c>
      <c r="L14" s="8">
        <f>SUMPRODUCT(--(($K$11:$K$14*1000+$J$11:$J$14*10+$H$11:$H$14)&gt;($K14*1000+$J14*10+$H14)))+1</f>
        <v>3</v>
      </c>
    </row>
    <row r="15" spans="1:12" ht="15" customHeight="1" x14ac:dyDescent="0.25">
      <c r="A15" s="11" t="s">
        <v>154</v>
      </c>
      <c r="B15" s="11">
        <v>1</v>
      </c>
      <c r="C15" s="30" t="s">
        <v>152</v>
      </c>
      <c r="D15" s="11">
        <f>SUMPRODUCT((Fixture_Grupos!$D$3:$D$74=$C15)*Fixture_Grupos!$H$3:$H$74)+SUMPRODUCT((Fixture_Grupos!$E$3:$E$74=$C15)*Fixture_Grupos!$H$3:$H$74)</f>
        <v>3</v>
      </c>
      <c r="E15" s="11">
        <f>SUMPRODUCT((Fixture_Grupos!$D$3:$D$74=$C15)*Fixture_Grupos!$H$3:$H$74*(Fixture_Grupos!$F$3:$F$74&gt;Fixture_Grupos!$G$3:$G$74))+SUMPRODUCT((Fixture_Grupos!$E$3:$E$74=$C15)*Fixture_Grupos!$H$3:$H$74*(Fixture_Grupos!$G$3:$G$74&gt;Fixture_Grupos!$F$3:$F$74))</f>
        <v>2</v>
      </c>
      <c r="F15" s="11">
        <f>SUMPRODUCT((Fixture_Grupos!$D$3:$D$74=$C15)*Fixture_Grupos!$H$3:$H$74*(Fixture_Grupos!$F$3:$F$74=Fixture_Grupos!$G$3:$G$74))+SUMPRODUCT((Fixture_Grupos!$E$3:$E$74=$C15)*Fixture_Grupos!$H$3:$H$74*(Fixture_Grupos!$G$3:$G$74=Fixture_Grupos!$F$3:$F$74))</f>
        <v>0</v>
      </c>
      <c r="G15" s="11">
        <f>SUMPRODUCT((Fixture_Grupos!$D$3:$D$74=$C15)*Fixture_Grupos!$H$3:$H$74*(Fixture_Grupos!$F$3:$F$74&lt;Fixture_Grupos!$G$3:$G$74))+SUMPRODUCT((Fixture_Grupos!$E$3:$E$74=$C15)*Fixture_Grupos!$H$3:$H$74*(Fixture_Grupos!$G$3:$G$74&lt;Fixture_Grupos!$F$3:$F$74))</f>
        <v>1</v>
      </c>
      <c r="H15" s="11">
        <f>SUMPRODUCT((Fixture_Grupos!$D$3:$D$74=$C15)*Fixture_Grupos!$H$3:$H$74*Fixture_Grupos!$F$3:$F$74)+SUMPRODUCT((Fixture_Grupos!$E$3:$E$74=$C15)*Fixture_Grupos!$H$3:$H$74*Fixture_Grupos!$G$3:$G$74)</f>
        <v>8</v>
      </c>
      <c r="I15" s="11">
        <f>SUMPRODUCT((Fixture_Grupos!$D$3:$D$74=$C15)*Fixture_Grupos!$H$3:$H$74*Fixture_Grupos!$G$3:$G$74)+SUMPRODUCT((Fixture_Grupos!$E$3:$E$74=$C15)*Fixture_Grupos!$H$3:$H$74*Fixture_Grupos!$F$3:$F$74)</f>
        <v>4</v>
      </c>
      <c r="J15" s="11">
        <f t="shared" si="0"/>
        <v>4</v>
      </c>
      <c r="K15" s="11">
        <f t="shared" si="1"/>
        <v>6</v>
      </c>
      <c r="L15" s="11">
        <f>SUMPRODUCT(--(($K$15:$K$18*1000+$J$15:$J$18*10+$H$15:$H$18)&gt;($K15*1000+$J15*10+$H15)))+1</f>
        <v>1</v>
      </c>
    </row>
    <row r="16" spans="1:12" ht="15" customHeight="1" x14ac:dyDescent="0.25">
      <c r="A16" s="11" t="s">
        <v>154</v>
      </c>
      <c r="B16" s="11">
        <v>2</v>
      </c>
      <c r="C16" s="30" t="s">
        <v>19</v>
      </c>
      <c r="D16" s="11">
        <f>SUMPRODUCT((Fixture_Grupos!$D$3:$D$74=$C16)*Fixture_Grupos!$H$3:$H$74)+SUMPRODUCT((Fixture_Grupos!$E$3:$E$74=$C16)*Fixture_Grupos!$H$3:$H$74)</f>
        <v>3</v>
      </c>
      <c r="E16" s="11">
        <f>SUMPRODUCT((Fixture_Grupos!$D$3:$D$74=$C16)*Fixture_Grupos!$H$3:$H$74*(Fixture_Grupos!$F$3:$F$74&gt;Fixture_Grupos!$G$3:$G$74))+SUMPRODUCT((Fixture_Grupos!$E$3:$E$74=$C16)*Fixture_Grupos!$H$3:$H$74*(Fixture_Grupos!$G$3:$G$74&gt;Fixture_Grupos!$F$3:$F$74))</f>
        <v>1</v>
      </c>
      <c r="F16" s="11">
        <f>SUMPRODUCT((Fixture_Grupos!$D$3:$D$74=$C16)*Fixture_Grupos!$H$3:$H$74*(Fixture_Grupos!$F$3:$F$74=Fixture_Grupos!$G$3:$G$74))+SUMPRODUCT((Fixture_Grupos!$E$3:$E$74=$C16)*Fixture_Grupos!$H$3:$H$74*(Fixture_Grupos!$G$3:$G$74=Fixture_Grupos!$F$3:$F$74))</f>
        <v>1</v>
      </c>
      <c r="G16" s="11">
        <f>SUMPRODUCT((Fixture_Grupos!$D$3:$D$74=$C16)*Fixture_Grupos!$H$3:$H$74*(Fixture_Grupos!$F$3:$F$74&lt;Fixture_Grupos!$G$3:$G$74))+SUMPRODUCT((Fixture_Grupos!$E$3:$E$74=$C16)*Fixture_Grupos!$H$3:$H$74*(Fixture_Grupos!$G$3:$G$74&lt;Fixture_Grupos!$F$3:$F$74))</f>
        <v>1</v>
      </c>
      <c r="H16" s="11">
        <f>SUMPRODUCT((Fixture_Grupos!$D$3:$D$74=$C16)*Fixture_Grupos!$H$3:$H$74*Fixture_Grupos!$F$3:$F$74)+SUMPRODUCT((Fixture_Grupos!$E$3:$E$74=$C16)*Fixture_Grupos!$H$3:$H$74*Fixture_Grupos!$G$3:$G$74)</f>
        <v>2</v>
      </c>
      <c r="I16" s="11">
        <f>SUMPRODUCT((Fixture_Grupos!$D$3:$D$74=$C16)*Fixture_Grupos!$H$3:$H$74*Fixture_Grupos!$G$3:$G$74)+SUMPRODUCT((Fixture_Grupos!$E$3:$E$74=$C16)*Fixture_Grupos!$H$3:$H$74*Fixture_Grupos!$F$3:$F$74)</f>
        <v>4</v>
      </c>
      <c r="J16" s="11">
        <f t="shared" si="0"/>
        <v>-2</v>
      </c>
      <c r="K16" s="11">
        <f t="shared" si="1"/>
        <v>4</v>
      </c>
      <c r="L16" s="11">
        <f>SUMPRODUCT(--(($K$15:$K$18*1000+$J$15:$J$18*10+$H$15:$H$18)&gt;($K16*1000+$J16*10+$H16)))+1</f>
        <v>3</v>
      </c>
    </row>
    <row r="17" spans="1:12" ht="15" customHeight="1" x14ac:dyDescent="0.25">
      <c r="A17" s="11" t="s">
        <v>154</v>
      </c>
      <c r="B17" s="11">
        <v>3</v>
      </c>
      <c r="C17" s="30" t="s">
        <v>156</v>
      </c>
      <c r="D17" s="11">
        <f>SUMPRODUCT((Fixture_Grupos!$D$3:$D$74=$C17)*Fixture_Grupos!$H$3:$H$74)+SUMPRODUCT((Fixture_Grupos!$E$3:$E$74=$C17)*Fixture_Grupos!$H$3:$H$74)</f>
        <v>3</v>
      </c>
      <c r="E17" s="11">
        <f>SUMPRODUCT((Fixture_Grupos!$D$3:$D$74=$C17)*Fixture_Grupos!$H$3:$H$74*(Fixture_Grupos!$F$3:$F$74&gt;Fixture_Grupos!$G$3:$G$74))+SUMPRODUCT((Fixture_Grupos!$E$3:$E$74=$C17)*Fixture_Grupos!$H$3:$H$74*(Fixture_Grupos!$G$3:$G$74&gt;Fixture_Grupos!$F$3:$F$74))</f>
        <v>1</v>
      </c>
      <c r="F17" s="11">
        <f>SUMPRODUCT((Fixture_Grupos!$D$3:$D$74=$C17)*Fixture_Grupos!$H$3:$H$74*(Fixture_Grupos!$F$3:$F$74=Fixture_Grupos!$G$3:$G$74))+SUMPRODUCT((Fixture_Grupos!$E$3:$E$74=$C17)*Fixture_Grupos!$H$3:$H$74*(Fixture_Grupos!$G$3:$G$74=Fixture_Grupos!$F$3:$F$74))</f>
        <v>1</v>
      </c>
      <c r="G17" s="11">
        <f>SUMPRODUCT((Fixture_Grupos!$D$3:$D$74=$C17)*Fixture_Grupos!$H$3:$H$74*(Fixture_Grupos!$F$3:$F$74&lt;Fixture_Grupos!$G$3:$G$74))+SUMPRODUCT((Fixture_Grupos!$E$3:$E$74=$C17)*Fixture_Grupos!$H$3:$H$74*(Fixture_Grupos!$G$3:$G$74&lt;Fixture_Grupos!$F$3:$F$74))</f>
        <v>1</v>
      </c>
      <c r="H17" s="11">
        <f>SUMPRODUCT((Fixture_Grupos!$D$3:$D$74=$C17)*Fixture_Grupos!$H$3:$H$74*Fixture_Grupos!$F$3:$F$74)+SUMPRODUCT((Fixture_Grupos!$E$3:$E$74=$C17)*Fixture_Grupos!$H$3:$H$74*Fixture_Grupos!$G$3:$G$74)</f>
        <v>2</v>
      </c>
      <c r="I17" s="11">
        <f>SUMPRODUCT((Fixture_Grupos!$D$3:$D$74=$C17)*Fixture_Grupos!$H$3:$H$74*Fixture_Grupos!$G$3:$G$74)+SUMPRODUCT((Fixture_Grupos!$E$3:$E$74=$C17)*Fixture_Grupos!$H$3:$H$74*Fixture_Grupos!$F$3:$F$74)</f>
        <v>2</v>
      </c>
      <c r="J17" s="11">
        <f t="shared" si="0"/>
        <v>0</v>
      </c>
      <c r="K17" s="11">
        <f t="shared" si="1"/>
        <v>4</v>
      </c>
      <c r="L17" s="11">
        <f>SUMPRODUCT(--(($K$15:$K$18*1000+$J$15:$J$18*10+$H$15:$H$18)&gt;($K17*1000+$J17*10+$H17)))+1</f>
        <v>2</v>
      </c>
    </row>
    <row r="18" spans="1:12" ht="15" customHeight="1" x14ac:dyDescent="0.25">
      <c r="A18" s="11" t="s">
        <v>154</v>
      </c>
      <c r="B18" s="11">
        <v>4</v>
      </c>
      <c r="C18" s="30" t="s">
        <v>158</v>
      </c>
      <c r="D18" s="11">
        <f>SUMPRODUCT((Fixture_Grupos!$D$3:$D$74=$C18)*Fixture_Grupos!$H$3:$H$74)+SUMPRODUCT((Fixture_Grupos!$E$3:$E$74=$C18)*Fixture_Grupos!$H$3:$H$74)</f>
        <v>3</v>
      </c>
      <c r="E18" s="11">
        <f>SUMPRODUCT((Fixture_Grupos!$D$3:$D$74=$C18)*Fixture_Grupos!$H$3:$H$74*(Fixture_Grupos!$F$3:$F$74&gt;Fixture_Grupos!$G$3:$G$74))+SUMPRODUCT((Fixture_Grupos!$E$3:$E$74=$C18)*Fixture_Grupos!$H$3:$H$74*(Fixture_Grupos!$G$3:$G$74&gt;Fixture_Grupos!$F$3:$F$74))</f>
        <v>1</v>
      </c>
      <c r="F18" s="11">
        <f>SUMPRODUCT((Fixture_Grupos!$D$3:$D$74=$C18)*Fixture_Grupos!$H$3:$H$74*(Fixture_Grupos!$F$3:$F$74=Fixture_Grupos!$G$3:$G$74))+SUMPRODUCT((Fixture_Grupos!$E$3:$E$74=$C18)*Fixture_Grupos!$H$3:$H$74*(Fixture_Grupos!$G$3:$G$74=Fixture_Grupos!$F$3:$F$74))</f>
        <v>0</v>
      </c>
      <c r="G18" s="11">
        <f>SUMPRODUCT((Fixture_Grupos!$D$3:$D$74=$C18)*Fixture_Grupos!$H$3:$H$74*(Fixture_Grupos!$F$3:$F$74&lt;Fixture_Grupos!$G$3:$G$74))+SUMPRODUCT((Fixture_Grupos!$E$3:$E$74=$C18)*Fixture_Grupos!$H$3:$H$74*(Fixture_Grupos!$G$3:$G$74&lt;Fixture_Grupos!$F$3:$F$74))</f>
        <v>2</v>
      </c>
      <c r="H18" s="11">
        <f>SUMPRODUCT((Fixture_Grupos!$D$3:$D$74=$C18)*Fixture_Grupos!$H$3:$H$74*Fixture_Grupos!$F$3:$F$74)+SUMPRODUCT((Fixture_Grupos!$E$3:$E$74=$C18)*Fixture_Grupos!$H$3:$H$74*Fixture_Grupos!$G$3:$G$74)</f>
        <v>3</v>
      </c>
      <c r="I18" s="11">
        <f>SUMPRODUCT((Fixture_Grupos!$D$3:$D$74=$C18)*Fixture_Grupos!$H$3:$H$74*Fixture_Grupos!$G$3:$G$74)+SUMPRODUCT((Fixture_Grupos!$E$3:$E$74=$C18)*Fixture_Grupos!$H$3:$H$74*Fixture_Grupos!$F$3:$F$74)</f>
        <v>5</v>
      </c>
      <c r="J18" s="11">
        <f t="shared" si="0"/>
        <v>-2</v>
      </c>
      <c r="K18" s="11">
        <f t="shared" si="1"/>
        <v>3</v>
      </c>
      <c r="L18" s="11">
        <f>SUMPRODUCT(--(($K$15:$K$18*1000+$J$15:$J$18*10+$H$15:$H$18)&gt;($K18*1000+$J18*10+$H18)))+1</f>
        <v>4</v>
      </c>
    </row>
    <row r="19" spans="1:12" ht="15" customHeight="1" x14ac:dyDescent="0.25">
      <c r="A19" s="8" t="s">
        <v>162</v>
      </c>
      <c r="B19" s="8">
        <v>1</v>
      </c>
      <c r="C19" s="29" t="s">
        <v>160</v>
      </c>
      <c r="D19" s="8">
        <f>SUMPRODUCT((Fixture_Grupos!$D$3:$D$74=$C19)*Fixture_Grupos!$H$3:$H$74)+SUMPRODUCT((Fixture_Grupos!$E$3:$E$74=$C19)*Fixture_Grupos!$H$3:$H$74)</f>
        <v>3</v>
      </c>
      <c r="E19" s="8">
        <f>SUMPRODUCT((Fixture_Grupos!$D$3:$D$74=$C19)*Fixture_Grupos!$H$3:$H$74*(Fixture_Grupos!$F$3:$F$74&gt;Fixture_Grupos!$G$3:$G$74))+SUMPRODUCT((Fixture_Grupos!$E$3:$E$74=$C19)*Fixture_Grupos!$H$3:$H$74*(Fixture_Grupos!$G$3:$G$74&gt;Fixture_Grupos!$F$3:$F$74))</f>
        <v>2</v>
      </c>
      <c r="F19" s="8">
        <f>SUMPRODUCT((Fixture_Grupos!$D$3:$D$74=$C19)*Fixture_Grupos!$H$3:$H$74*(Fixture_Grupos!$F$3:$F$74=Fixture_Grupos!$G$3:$G$74))+SUMPRODUCT((Fixture_Grupos!$E$3:$E$74=$C19)*Fixture_Grupos!$H$3:$H$74*(Fixture_Grupos!$G$3:$G$74=Fixture_Grupos!$F$3:$F$74))</f>
        <v>0</v>
      </c>
      <c r="G19" s="8">
        <f>SUMPRODUCT((Fixture_Grupos!$D$3:$D$74=$C19)*Fixture_Grupos!$H$3:$H$74*(Fixture_Grupos!$F$3:$F$74&lt;Fixture_Grupos!$G$3:$G$74))+SUMPRODUCT((Fixture_Grupos!$E$3:$E$74=$C19)*Fixture_Grupos!$H$3:$H$74*(Fixture_Grupos!$G$3:$G$74&lt;Fixture_Grupos!$F$3:$F$74))</f>
        <v>1</v>
      </c>
      <c r="H19" s="8">
        <f>SUMPRODUCT((Fixture_Grupos!$D$3:$D$74=$C19)*Fixture_Grupos!$H$3:$H$74*Fixture_Grupos!$F$3:$F$74)+SUMPRODUCT((Fixture_Grupos!$E$3:$E$74=$C19)*Fixture_Grupos!$H$3:$H$74*Fixture_Grupos!$G$3:$G$74)</f>
        <v>10</v>
      </c>
      <c r="I19" s="8">
        <f>SUMPRODUCT((Fixture_Grupos!$D$3:$D$74=$C19)*Fixture_Grupos!$H$3:$H$74*Fixture_Grupos!$G$3:$G$74)+SUMPRODUCT((Fixture_Grupos!$E$3:$E$74=$C19)*Fixture_Grupos!$H$3:$H$74*Fixture_Grupos!$F$3:$F$74)</f>
        <v>4</v>
      </c>
      <c r="J19" s="8">
        <f t="shared" si="0"/>
        <v>6</v>
      </c>
      <c r="K19" s="8">
        <f t="shared" si="1"/>
        <v>6</v>
      </c>
      <c r="L19" s="8">
        <f>SUMPRODUCT(--(($K$19:$K$22*1000+$J$19:$J$22*10+$H$19:$H$22)&gt;($K19*1000+$J19*10+$H19)))+1</f>
        <v>1</v>
      </c>
    </row>
    <row r="20" spans="1:12" ht="15" customHeight="1" x14ac:dyDescent="0.25">
      <c r="A20" s="8" t="s">
        <v>162</v>
      </c>
      <c r="B20" s="8">
        <v>2</v>
      </c>
      <c r="C20" s="29" t="s">
        <v>163</v>
      </c>
      <c r="D20" s="8">
        <f>SUMPRODUCT((Fixture_Grupos!$D$3:$D$74=$C20)*Fixture_Grupos!$H$3:$H$74)+SUMPRODUCT((Fixture_Grupos!$E$3:$E$74=$C20)*Fixture_Grupos!$H$3:$H$74)</f>
        <v>3</v>
      </c>
      <c r="E20" s="8">
        <f>SUMPRODUCT((Fixture_Grupos!$D$3:$D$74=$C20)*Fixture_Grupos!$H$3:$H$74*(Fixture_Grupos!$F$3:$F$74&gt;Fixture_Grupos!$G$3:$G$74))+SUMPRODUCT((Fixture_Grupos!$E$3:$E$74=$C20)*Fixture_Grupos!$H$3:$H$74*(Fixture_Grupos!$G$3:$G$74&gt;Fixture_Grupos!$F$3:$F$74))</f>
        <v>0</v>
      </c>
      <c r="F20" s="8">
        <f>SUMPRODUCT((Fixture_Grupos!$D$3:$D$74=$C20)*Fixture_Grupos!$H$3:$H$74*(Fixture_Grupos!$F$3:$F$74=Fixture_Grupos!$G$3:$G$74))+SUMPRODUCT((Fixture_Grupos!$E$3:$E$74=$C20)*Fixture_Grupos!$H$3:$H$74*(Fixture_Grupos!$G$3:$G$74=Fixture_Grupos!$F$3:$F$74))</f>
        <v>1</v>
      </c>
      <c r="G20" s="8">
        <f>SUMPRODUCT((Fixture_Grupos!$D$3:$D$74=$C20)*Fixture_Grupos!$H$3:$H$74*(Fixture_Grupos!$F$3:$F$74&lt;Fixture_Grupos!$G$3:$G$74))+SUMPRODUCT((Fixture_Grupos!$E$3:$E$74=$C20)*Fixture_Grupos!$H$3:$H$74*(Fixture_Grupos!$G$3:$G$74&lt;Fixture_Grupos!$F$3:$F$74))</f>
        <v>2</v>
      </c>
      <c r="H20" s="8">
        <f>SUMPRODUCT((Fixture_Grupos!$D$3:$D$74=$C20)*Fixture_Grupos!$H$3:$H$74*Fixture_Grupos!$F$3:$F$74)+SUMPRODUCT((Fixture_Grupos!$E$3:$E$74=$C20)*Fixture_Grupos!$H$3:$H$74*Fixture_Grupos!$G$3:$G$74)</f>
        <v>1</v>
      </c>
      <c r="I20" s="8">
        <f>SUMPRODUCT((Fixture_Grupos!$D$3:$D$74=$C20)*Fixture_Grupos!$H$3:$H$74*Fixture_Grupos!$G$3:$G$74)+SUMPRODUCT((Fixture_Grupos!$E$3:$E$74=$C20)*Fixture_Grupos!$H$3:$H$74*Fixture_Grupos!$F$3:$F$74)</f>
        <v>9</v>
      </c>
      <c r="J20" s="8">
        <f t="shared" si="0"/>
        <v>-8</v>
      </c>
      <c r="K20" s="8">
        <f t="shared" si="1"/>
        <v>1</v>
      </c>
      <c r="L20" s="8">
        <f>SUMPRODUCT(--(($K$19:$K$22*1000+$J$19:$J$22*10+$H$19:$H$22)&gt;($K20*1000+$J20*10+$H20)))+1</f>
        <v>4</v>
      </c>
    </row>
    <row r="21" spans="1:12" ht="15" customHeight="1" x14ac:dyDescent="0.25">
      <c r="A21" s="8" t="s">
        <v>162</v>
      </c>
      <c r="B21" s="8">
        <v>3</v>
      </c>
      <c r="C21" s="29" t="s">
        <v>165</v>
      </c>
      <c r="D21" s="8">
        <f>SUMPRODUCT((Fixture_Grupos!$D$3:$D$74=$C21)*Fixture_Grupos!$H$3:$H$74)+SUMPRODUCT((Fixture_Grupos!$E$3:$E$74=$C21)*Fixture_Grupos!$H$3:$H$74)</f>
        <v>3</v>
      </c>
      <c r="E21" s="8">
        <f>SUMPRODUCT((Fixture_Grupos!$D$3:$D$74=$C21)*Fixture_Grupos!$H$3:$H$74*(Fixture_Grupos!$F$3:$F$74&gt;Fixture_Grupos!$G$3:$G$74))+SUMPRODUCT((Fixture_Grupos!$E$3:$E$74=$C21)*Fixture_Grupos!$H$3:$H$74*(Fixture_Grupos!$G$3:$G$74&gt;Fixture_Grupos!$F$3:$F$74))</f>
        <v>2</v>
      </c>
      <c r="F21" s="8">
        <f>SUMPRODUCT((Fixture_Grupos!$D$3:$D$74=$C21)*Fixture_Grupos!$H$3:$H$74*(Fixture_Grupos!$F$3:$F$74=Fixture_Grupos!$G$3:$G$74))+SUMPRODUCT((Fixture_Grupos!$E$3:$E$74=$C21)*Fixture_Grupos!$H$3:$H$74*(Fixture_Grupos!$G$3:$G$74=Fixture_Grupos!$F$3:$F$74))</f>
        <v>0</v>
      </c>
      <c r="G21" s="8">
        <f>SUMPRODUCT((Fixture_Grupos!$D$3:$D$74=$C21)*Fixture_Grupos!$H$3:$H$74*(Fixture_Grupos!$F$3:$F$74&lt;Fixture_Grupos!$G$3:$G$74))+SUMPRODUCT((Fixture_Grupos!$E$3:$E$74=$C21)*Fixture_Grupos!$H$3:$H$74*(Fixture_Grupos!$G$3:$G$74&lt;Fixture_Grupos!$F$3:$F$74))</f>
        <v>1</v>
      </c>
      <c r="H21" s="8">
        <f>SUMPRODUCT((Fixture_Grupos!$D$3:$D$74=$C21)*Fixture_Grupos!$H$3:$H$74*Fixture_Grupos!$F$3:$F$74)+SUMPRODUCT((Fixture_Grupos!$E$3:$E$74=$C21)*Fixture_Grupos!$H$3:$H$74*Fixture_Grupos!$G$3:$G$74)</f>
        <v>4</v>
      </c>
      <c r="I21" s="8">
        <f>SUMPRODUCT((Fixture_Grupos!$D$3:$D$74=$C21)*Fixture_Grupos!$H$3:$H$74*Fixture_Grupos!$G$3:$G$74)+SUMPRODUCT((Fixture_Grupos!$E$3:$E$74=$C21)*Fixture_Grupos!$H$3:$H$74*Fixture_Grupos!$F$3:$F$74)</f>
        <v>2</v>
      </c>
      <c r="J21" s="8">
        <f t="shared" si="0"/>
        <v>2</v>
      </c>
      <c r="K21" s="8">
        <f t="shared" si="1"/>
        <v>6</v>
      </c>
      <c r="L21" s="8">
        <f>SUMPRODUCT(--(($K$19:$K$22*1000+$J$19:$J$22*10+$H$19:$H$22)&gt;($K21*1000+$J21*10+$H21)))+1</f>
        <v>2</v>
      </c>
    </row>
    <row r="22" spans="1:12" ht="15" customHeight="1" x14ac:dyDescent="0.25">
      <c r="A22" s="8" t="s">
        <v>162</v>
      </c>
      <c r="B22" s="8">
        <v>4</v>
      </c>
      <c r="C22" s="29" t="s">
        <v>29</v>
      </c>
      <c r="D22" s="8">
        <f>SUMPRODUCT((Fixture_Grupos!$D$3:$D$74=$C22)*Fixture_Grupos!$H$3:$H$74)+SUMPRODUCT((Fixture_Grupos!$E$3:$E$74=$C22)*Fixture_Grupos!$H$3:$H$74)</f>
        <v>3</v>
      </c>
      <c r="E22" s="8">
        <f>SUMPRODUCT((Fixture_Grupos!$D$3:$D$74=$C22)*Fixture_Grupos!$H$3:$H$74*(Fixture_Grupos!$F$3:$F$74&gt;Fixture_Grupos!$G$3:$G$74))+SUMPRODUCT((Fixture_Grupos!$E$3:$E$74=$C22)*Fixture_Grupos!$H$3:$H$74*(Fixture_Grupos!$G$3:$G$74&gt;Fixture_Grupos!$F$3:$F$74))</f>
        <v>1</v>
      </c>
      <c r="F22" s="8">
        <f>SUMPRODUCT((Fixture_Grupos!$D$3:$D$74=$C22)*Fixture_Grupos!$H$3:$H$74*(Fixture_Grupos!$F$3:$F$74=Fixture_Grupos!$G$3:$G$74))+SUMPRODUCT((Fixture_Grupos!$E$3:$E$74=$C22)*Fixture_Grupos!$H$3:$H$74*(Fixture_Grupos!$G$3:$G$74=Fixture_Grupos!$F$3:$F$74))</f>
        <v>1</v>
      </c>
      <c r="G22" s="8">
        <f>SUMPRODUCT((Fixture_Grupos!$D$3:$D$74=$C22)*Fixture_Grupos!$H$3:$H$74*(Fixture_Grupos!$F$3:$F$74&lt;Fixture_Grupos!$G$3:$G$74))+SUMPRODUCT((Fixture_Grupos!$E$3:$E$74=$C22)*Fixture_Grupos!$H$3:$H$74*(Fixture_Grupos!$G$3:$G$74&lt;Fixture_Grupos!$F$3:$F$74))</f>
        <v>1</v>
      </c>
      <c r="H22" s="8">
        <f>SUMPRODUCT((Fixture_Grupos!$D$3:$D$74=$C22)*Fixture_Grupos!$H$3:$H$74*Fixture_Grupos!$F$3:$F$74)+SUMPRODUCT((Fixture_Grupos!$E$3:$E$74=$C22)*Fixture_Grupos!$H$3:$H$74*Fixture_Grupos!$G$3:$G$74)</f>
        <v>2</v>
      </c>
      <c r="I22" s="8">
        <f>SUMPRODUCT((Fixture_Grupos!$D$3:$D$74=$C22)*Fixture_Grupos!$H$3:$H$74*Fixture_Grupos!$G$3:$G$74)+SUMPRODUCT((Fixture_Grupos!$E$3:$E$74=$C22)*Fixture_Grupos!$H$3:$H$74*Fixture_Grupos!$F$3:$F$74)</f>
        <v>2</v>
      </c>
      <c r="J22" s="8">
        <f t="shared" si="0"/>
        <v>0</v>
      </c>
      <c r="K22" s="8">
        <f t="shared" si="1"/>
        <v>4</v>
      </c>
      <c r="L22" s="8">
        <f>SUMPRODUCT(--(($K$19:$K$22*1000+$J$19:$J$22*10+$H$19:$H$22)&gt;($K22*1000+$J22*10+$H22)))+1</f>
        <v>3</v>
      </c>
    </row>
    <row r="23" spans="1:12" ht="15" customHeight="1" x14ac:dyDescent="0.25">
      <c r="A23" s="11" t="s">
        <v>170</v>
      </c>
      <c r="B23" s="11">
        <v>1</v>
      </c>
      <c r="C23" s="30" t="s">
        <v>168</v>
      </c>
      <c r="D23" s="11">
        <f>SUMPRODUCT((Fixture_Grupos!$D$3:$D$74=$C23)*Fixture_Grupos!$H$3:$H$74)+SUMPRODUCT((Fixture_Grupos!$E$3:$E$74=$C23)*Fixture_Grupos!$H$3:$H$74)</f>
        <v>3</v>
      </c>
      <c r="E23" s="11">
        <f>SUMPRODUCT((Fixture_Grupos!$D$3:$D$74=$C23)*Fixture_Grupos!$H$3:$H$74*(Fixture_Grupos!$F$3:$F$74&gt;Fixture_Grupos!$G$3:$G$74))+SUMPRODUCT((Fixture_Grupos!$E$3:$E$74=$C23)*Fixture_Grupos!$H$3:$H$74*(Fixture_Grupos!$G$3:$G$74&gt;Fixture_Grupos!$F$3:$F$74))</f>
        <v>2</v>
      </c>
      <c r="F23" s="11">
        <f>SUMPRODUCT((Fixture_Grupos!$D$3:$D$74=$C23)*Fixture_Grupos!$H$3:$H$74*(Fixture_Grupos!$F$3:$F$74=Fixture_Grupos!$G$3:$G$74))+SUMPRODUCT((Fixture_Grupos!$E$3:$E$74=$C23)*Fixture_Grupos!$H$3:$H$74*(Fixture_Grupos!$G$3:$G$74=Fixture_Grupos!$F$3:$F$74))</f>
        <v>1</v>
      </c>
      <c r="G23" s="11">
        <f>SUMPRODUCT((Fixture_Grupos!$D$3:$D$74=$C23)*Fixture_Grupos!$H$3:$H$74*(Fixture_Grupos!$F$3:$F$74&lt;Fixture_Grupos!$G$3:$G$74))+SUMPRODUCT((Fixture_Grupos!$E$3:$E$74=$C23)*Fixture_Grupos!$H$3:$H$74*(Fixture_Grupos!$G$3:$G$74&lt;Fixture_Grupos!$F$3:$F$74))</f>
        <v>0</v>
      </c>
      <c r="H23" s="11">
        <f>SUMPRODUCT((Fixture_Grupos!$D$3:$D$74=$C23)*Fixture_Grupos!$H$3:$H$74*Fixture_Grupos!$F$3:$F$74)+SUMPRODUCT((Fixture_Grupos!$E$3:$E$74=$C23)*Fixture_Grupos!$H$3:$H$74*Fixture_Grupos!$G$3:$G$74)</f>
        <v>10</v>
      </c>
      <c r="I23" s="11">
        <f>SUMPRODUCT((Fixture_Grupos!$D$3:$D$74=$C23)*Fixture_Grupos!$H$3:$H$74*Fixture_Grupos!$G$3:$G$74)+SUMPRODUCT((Fixture_Grupos!$E$3:$E$74=$C23)*Fixture_Grupos!$H$3:$H$74*Fixture_Grupos!$F$3:$F$74)</f>
        <v>4</v>
      </c>
      <c r="J23" s="11">
        <f t="shared" si="0"/>
        <v>6</v>
      </c>
      <c r="K23" s="11">
        <f t="shared" si="1"/>
        <v>7</v>
      </c>
      <c r="L23" s="11">
        <f>SUMPRODUCT(--(($K$23:$K$26*1000+$J$23:$J$26*10+$H$23:$H$26)&gt;($K23*1000+$J23*10+$H23)))+1</f>
        <v>1</v>
      </c>
    </row>
    <row r="24" spans="1:12" ht="15" customHeight="1" x14ac:dyDescent="0.25">
      <c r="A24" s="11" t="s">
        <v>170</v>
      </c>
      <c r="B24" s="11">
        <v>2</v>
      </c>
      <c r="C24" s="30" t="s">
        <v>171</v>
      </c>
      <c r="D24" s="11">
        <f>SUMPRODUCT((Fixture_Grupos!$D$3:$D$74=$C24)*Fixture_Grupos!$H$3:$H$74)+SUMPRODUCT((Fixture_Grupos!$E$3:$E$74=$C24)*Fixture_Grupos!$H$3:$H$74)</f>
        <v>3</v>
      </c>
      <c r="E24" s="11">
        <f>SUMPRODUCT((Fixture_Grupos!$D$3:$D$74=$C24)*Fixture_Grupos!$H$3:$H$74*(Fixture_Grupos!$F$3:$F$74&gt;Fixture_Grupos!$G$3:$G$74))+SUMPRODUCT((Fixture_Grupos!$E$3:$E$74=$C24)*Fixture_Grupos!$H$3:$H$74*(Fixture_Grupos!$G$3:$G$74&gt;Fixture_Grupos!$F$3:$F$74))</f>
        <v>1</v>
      </c>
      <c r="F24" s="11">
        <f>SUMPRODUCT((Fixture_Grupos!$D$3:$D$74=$C24)*Fixture_Grupos!$H$3:$H$74*(Fixture_Grupos!$F$3:$F$74=Fixture_Grupos!$G$3:$G$74))+SUMPRODUCT((Fixture_Grupos!$E$3:$E$74=$C24)*Fixture_Grupos!$H$3:$H$74*(Fixture_Grupos!$G$3:$G$74=Fixture_Grupos!$F$3:$F$74))</f>
        <v>2</v>
      </c>
      <c r="G24" s="11">
        <f>SUMPRODUCT((Fixture_Grupos!$D$3:$D$74=$C24)*Fixture_Grupos!$H$3:$H$74*(Fixture_Grupos!$F$3:$F$74&lt;Fixture_Grupos!$G$3:$G$74))+SUMPRODUCT((Fixture_Grupos!$E$3:$E$74=$C24)*Fixture_Grupos!$H$3:$H$74*(Fixture_Grupos!$G$3:$G$74&lt;Fixture_Grupos!$F$3:$F$74))</f>
        <v>0</v>
      </c>
      <c r="H24" s="11">
        <f>SUMPRODUCT((Fixture_Grupos!$D$3:$D$74=$C24)*Fixture_Grupos!$H$3:$H$74*Fixture_Grupos!$F$3:$F$74)+SUMPRODUCT((Fixture_Grupos!$E$3:$E$74=$C24)*Fixture_Grupos!$H$3:$H$74*Fixture_Grupos!$G$3:$G$74)</f>
        <v>7</v>
      </c>
      <c r="I24" s="11">
        <f>SUMPRODUCT((Fixture_Grupos!$D$3:$D$74=$C24)*Fixture_Grupos!$H$3:$H$74*Fixture_Grupos!$G$3:$G$74)+SUMPRODUCT((Fixture_Grupos!$E$3:$E$74=$C24)*Fixture_Grupos!$H$3:$H$74*Fixture_Grupos!$F$3:$F$74)</f>
        <v>3</v>
      </c>
      <c r="J24" s="11">
        <f t="shared" si="0"/>
        <v>4</v>
      </c>
      <c r="K24" s="11">
        <f t="shared" si="1"/>
        <v>5</v>
      </c>
      <c r="L24" s="11">
        <f>SUMPRODUCT(--(($K$23:$K$26*1000+$J$23:$J$26*10+$H$23:$H$26)&gt;($K24*1000+$J24*10+$H24)))+1</f>
        <v>2</v>
      </c>
    </row>
    <row r="25" spans="1:12" ht="15" customHeight="1" x14ac:dyDescent="0.25">
      <c r="A25" s="11" t="s">
        <v>170</v>
      </c>
      <c r="B25" s="11">
        <v>3</v>
      </c>
      <c r="C25" s="30" t="s">
        <v>26</v>
      </c>
      <c r="D25" s="11">
        <f>SUMPRODUCT((Fixture_Grupos!$D$3:$D$74=$C25)*Fixture_Grupos!$H$3:$H$74)+SUMPRODUCT((Fixture_Grupos!$E$3:$E$74=$C25)*Fixture_Grupos!$H$3:$H$74)</f>
        <v>3</v>
      </c>
      <c r="E25" s="11">
        <f>SUMPRODUCT((Fixture_Grupos!$D$3:$D$74=$C25)*Fixture_Grupos!$H$3:$H$74*(Fixture_Grupos!$F$3:$F$74&gt;Fixture_Grupos!$G$3:$G$74))+SUMPRODUCT((Fixture_Grupos!$E$3:$E$74=$C25)*Fixture_Grupos!$H$3:$H$74*(Fixture_Grupos!$G$3:$G$74&gt;Fixture_Grupos!$F$3:$F$74))</f>
        <v>1</v>
      </c>
      <c r="F25" s="11">
        <f>SUMPRODUCT((Fixture_Grupos!$D$3:$D$74=$C25)*Fixture_Grupos!$H$3:$H$74*(Fixture_Grupos!$F$3:$F$74=Fixture_Grupos!$G$3:$G$74))+SUMPRODUCT((Fixture_Grupos!$E$3:$E$74=$C25)*Fixture_Grupos!$H$3:$H$74*(Fixture_Grupos!$G$3:$G$74=Fixture_Grupos!$F$3:$F$74))</f>
        <v>1</v>
      </c>
      <c r="G25" s="11">
        <f>SUMPRODUCT((Fixture_Grupos!$D$3:$D$74=$C25)*Fixture_Grupos!$H$3:$H$74*(Fixture_Grupos!$F$3:$F$74&lt;Fixture_Grupos!$G$3:$G$74))+SUMPRODUCT((Fixture_Grupos!$E$3:$E$74=$C25)*Fixture_Grupos!$H$3:$H$74*(Fixture_Grupos!$G$3:$G$74&lt;Fixture_Grupos!$F$3:$F$74))</f>
        <v>1</v>
      </c>
      <c r="H25" s="11">
        <f>SUMPRODUCT((Fixture_Grupos!$D$3:$D$74=$C25)*Fixture_Grupos!$H$3:$H$74*Fixture_Grupos!$F$3:$F$74)+SUMPRODUCT((Fixture_Grupos!$E$3:$E$74=$C25)*Fixture_Grupos!$H$3:$H$74*Fixture_Grupos!$G$3:$G$74)</f>
        <v>7</v>
      </c>
      <c r="I25" s="11">
        <f>SUMPRODUCT((Fixture_Grupos!$D$3:$D$74=$C25)*Fixture_Grupos!$H$3:$H$74*Fixture_Grupos!$G$3:$G$74)+SUMPRODUCT((Fixture_Grupos!$E$3:$E$74=$C25)*Fixture_Grupos!$H$3:$H$74*Fixture_Grupos!$F$3:$F$74)</f>
        <v>7</v>
      </c>
      <c r="J25" s="11">
        <f t="shared" si="0"/>
        <v>0</v>
      </c>
      <c r="K25" s="11">
        <f t="shared" si="1"/>
        <v>4</v>
      </c>
      <c r="L25" s="11">
        <f>SUMPRODUCT(--(($K$23:$K$26*1000+$J$23:$J$26*10+$H$23:$H$26)&gt;($K25*1000+$J25*10+$H25)))+1</f>
        <v>3</v>
      </c>
    </row>
    <row r="26" spans="1:12" ht="15" customHeight="1" x14ac:dyDescent="0.25">
      <c r="A26" s="11" t="s">
        <v>170</v>
      </c>
      <c r="B26" s="11">
        <v>4</v>
      </c>
      <c r="C26" s="30" t="s">
        <v>174</v>
      </c>
      <c r="D26" s="11">
        <f>SUMPRODUCT((Fixture_Grupos!$D$3:$D$74=$C26)*Fixture_Grupos!$H$3:$H$74)+SUMPRODUCT((Fixture_Grupos!$E$3:$E$74=$C26)*Fixture_Grupos!$H$3:$H$74)</f>
        <v>3</v>
      </c>
      <c r="E26" s="11">
        <f>SUMPRODUCT((Fixture_Grupos!$D$3:$D$74=$C26)*Fixture_Grupos!$H$3:$H$74*(Fixture_Grupos!$F$3:$F$74&gt;Fixture_Grupos!$G$3:$G$74))+SUMPRODUCT((Fixture_Grupos!$E$3:$E$74=$C26)*Fixture_Grupos!$H$3:$H$74*(Fixture_Grupos!$G$3:$G$74&gt;Fixture_Grupos!$F$3:$F$74))</f>
        <v>0</v>
      </c>
      <c r="F26" s="11">
        <f>SUMPRODUCT((Fixture_Grupos!$D$3:$D$74=$C26)*Fixture_Grupos!$H$3:$H$74*(Fixture_Grupos!$F$3:$F$74=Fixture_Grupos!$G$3:$G$74))+SUMPRODUCT((Fixture_Grupos!$E$3:$E$74=$C26)*Fixture_Grupos!$H$3:$H$74*(Fixture_Grupos!$G$3:$G$74=Fixture_Grupos!$F$3:$F$74))</f>
        <v>0</v>
      </c>
      <c r="G26" s="11">
        <f>SUMPRODUCT((Fixture_Grupos!$D$3:$D$74=$C26)*Fixture_Grupos!$H$3:$H$74*(Fixture_Grupos!$F$3:$F$74&lt;Fixture_Grupos!$G$3:$G$74))+SUMPRODUCT((Fixture_Grupos!$E$3:$E$74=$C26)*Fixture_Grupos!$H$3:$H$74*(Fixture_Grupos!$G$3:$G$74&lt;Fixture_Grupos!$F$3:$F$74))</f>
        <v>3</v>
      </c>
      <c r="H26" s="11">
        <f>SUMPRODUCT((Fixture_Grupos!$D$3:$D$74=$C26)*Fixture_Grupos!$H$3:$H$74*Fixture_Grupos!$F$3:$F$74)+SUMPRODUCT((Fixture_Grupos!$E$3:$E$74=$C26)*Fixture_Grupos!$H$3:$H$74*Fixture_Grupos!$G$3:$G$74)</f>
        <v>2</v>
      </c>
      <c r="I26" s="11">
        <f>SUMPRODUCT((Fixture_Grupos!$D$3:$D$74=$C26)*Fixture_Grupos!$H$3:$H$74*Fixture_Grupos!$G$3:$G$74)+SUMPRODUCT((Fixture_Grupos!$E$3:$E$74=$C26)*Fixture_Grupos!$H$3:$H$74*Fixture_Grupos!$F$3:$F$74)</f>
        <v>12</v>
      </c>
      <c r="J26" s="11">
        <f t="shared" si="0"/>
        <v>-10</v>
      </c>
      <c r="K26" s="11">
        <f t="shared" si="1"/>
        <v>0</v>
      </c>
      <c r="L26" s="11">
        <f>SUMPRODUCT(--(($K$23:$K$26*1000+$J$23:$J$26*10+$H$23:$H$26)&gt;($K26*1000+$J26*10+$H26)))+1</f>
        <v>4</v>
      </c>
    </row>
    <row r="27" spans="1:12" ht="15" customHeight="1" x14ac:dyDescent="0.25">
      <c r="A27" s="8" t="s">
        <v>178</v>
      </c>
      <c r="B27" s="8">
        <v>1</v>
      </c>
      <c r="C27" s="29" t="s">
        <v>176</v>
      </c>
      <c r="D27" s="8">
        <f>SUMPRODUCT((Fixture_Grupos!$D$3:$D$74=$C27)*Fixture_Grupos!$H$3:$H$74)+SUMPRODUCT((Fixture_Grupos!$E$3:$E$74=$C27)*Fixture_Grupos!$H$3:$H$74)</f>
        <v>3</v>
      </c>
      <c r="E27" s="8">
        <f>SUMPRODUCT((Fixture_Grupos!$D$3:$D$74=$C27)*Fixture_Grupos!$H$3:$H$74*(Fixture_Grupos!$F$3:$F$74&gt;Fixture_Grupos!$G$3:$G$74))+SUMPRODUCT((Fixture_Grupos!$E$3:$E$74=$C27)*Fixture_Grupos!$H$3:$H$74*(Fixture_Grupos!$G$3:$G$74&gt;Fixture_Grupos!$F$3:$F$74))</f>
        <v>1</v>
      </c>
      <c r="F27" s="8">
        <f>SUMPRODUCT((Fixture_Grupos!$D$3:$D$74=$C27)*Fixture_Grupos!$H$3:$H$74*(Fixture_Grupos!$F$3:$F$74=Fixture_Grupos!$G$3:$G$74))+SUMPRODUCT((Fixture_Grupos!$E$3:$E$74=$C27)*Fixture_Grupos!$H$3:$H$74*(Fixture_Grupos!$G$3:$G$74=Fixture_Grupos!$F$3:$F$74))</f>
        <v>2</v>
      </c>
      <c r="G27" s="8">
        <f>SUMPRODUCT((Fixture_Grupos!$D$3:$D$74=$C27)*Fixture_Grupos!$H$3:$H$74*(Fixture_Grupos!$F$3:$F$74&lt;Fixture_Grupos!$G$3:$G$74))+SUMPRODUCT((Fixture_Grupos!$E$3:$E$74=$C27)*Fixture_Grupos!$H$3:$H$74*(Fixture_Grupos!$G$3:$G$74&lt;Fixture_Grupos!$F$3:$F$74))</f>
        <v>0</v>
      </c>
      <c r="H27" s="8">
        <f>SUMPRODUCT((Fixture_Grupos!$D$3:$D$74=$C27)*Fixture_Grupos!$H$3:$H$74*Fixture_Grupos!$F$3:$F$74)+SUMPRODUCT((Fixture_Grupos!$E$3:$E$74=$C27)*Fixture_Grupos!$H$3:$H$74*Fixture_Grupos!$G$3:$G$74)</f>
        <v>6</v>
      </c>
      <c r="I27" s="8">
        <f>SUMPRODUCT((Fixture_Grupos!$D$3:$D$74=$C27)*Fixture_Grupos!$H$3:$H$74*Fixture_Grupos!$G$3:$G$74)+SUMPRODUCT((Fixture_Grupos!$E$3:$E$74=$C27)*Fixture_Grupos!$H$3:$H$74*Fixture_Grupos!$F$3:$F$74)</f>
        <v>2</v>
      </c>
      <c r="J27" s="8">
        <f t="shared" si="0"/>
        <v>4</v>
      </c>
      <c r="K27" s="8">
        <f t="shared" si="1"/>
        <v>5</v>
      </c>
      <c r="L27" s="8">
        <f>SUMPRODUCT(--(($K$27:$K$30*1000+$J$27:$J$30*10+$H$27:$H$30)&gt;($K27*1000+$J27*10+$H27)))+1</f>
        <v>1</v>
      </c>
    </row>
    <row r="28" spans="1:12" ht="15" customHeight="1" x14ac:dyDescent="0.25">
      <c r="A28" s="8" t="s">
        <v>178</v>
      </c>
      <c r="B28" s="8">
        <v>2</v>
      </c>
      <c r="C28" s="29" t="s">
        <v>179</v>
      </c>
      <c r="D28" s="8">
        <f>SUMPRODUCT((Fixture_Grupos!$D$3:$D$74=$C28)*Fixture_Grupos!$H$3:$H$74)+SUMPRODUCT((Fixture_Grupos!$E$3:$E$74=$C28)*Fixture_Grupos!$H$3:$H$74)</f>
        <v>3</v>
      </c>
      <c r="E28" s="8">
        <f>SUMPRODUCT((Fixture_Grupos!$D$3:$D$74=$C28)*Fixture_Grupos!$H$3:$H$74*(Fixture_Grupos!$F$3:$F$74&gt;Fixture_Grupos!$G$3:$G$74))+SUMPRODUCT((Fixture_Grupos!$E$3:$E$74=$C28)*Fixture_Grupos!$H$3:$H$74*(Fixture_Grupos!$G$3:$G$74&gt;Fixture_Grupos!$F$3:$F$74))</f>
        <v>1</v>
      </c>
      <c r="F28" s="8">
        <f>SUMPRODUCT((Fixture_Grupos!$D$3:$D$74=$C28)*Fixture_Grupos!$H$3:$H$74*(Fixture_Grupos!$F$3:$F$74=Fixture_Grupos!$G$3:$G$74))+SUMPRODUCT((Fixture_Grupos!$E$3:$E$74=$C28)*Fixture_Grupos!$H$3:$H$74*(Fixture_Grupos!$G$3:$G$74=Fixture_Grupos!$F$3:$F$74))</f>
        <v>2</v>
      </c>
      <c r="G28" s="8">
        <f>SUMPRODUCT((Fixture_Grupos!$D$3:$D$74=$C28)*Fixture_Grupos!$H$3:$H$74*(Fixture_Grupos!$F$3:$F$74&lt;Fixture_Grupos!$G$3:$G$74))+SUMPRODUCT((Fixture_Grupos!$E$3:$E$74=$C28)*Fixture_Grupos!$H$3:$H$74*(Fixture_Grupos!$G$3:$G$74&lt;Fixture_Grupos!$F$3:$F$74))</f>
        <v>0</v>
      </c>
      <c r="H28" s="8">
        <f>SUMPRODUCT((Fixture_Grupos!$D$3:$D$74=$C28)*Fixture_Grupos!$H$3:$H$74*Fixture_Grupos!$F$3:$F$74)+SUMPRODUCT((Fixture_Grupos!$E$3:$E$74=$C28)*Fixture_Grupos!$H$3:$H$74*Fixture_Grupos!$G$3:$G$74)</f>
        <v>5</v>
      </c>
      <c r="I28" s="8">
        <f>SUMPRODUCT((Fixture_Grupos!$D$3:$D$74=$C28)*Fixture_Grupos!$H$3:$H$74*Fixture_Grupos!$G$3:$G$74)+SUMPRODUCT((Fixture_Grupos!$E$3:$E$74=$C28)*Fixture_Grupos!$H$3:$H$74*Fixture_Grupos!$F$3:$F$74)</f>
        <v>3</v>
      </c>
      <c r="J28" s="8">
        <f t="shared" si="0"/>
        <v>2</v>
      </c>
      <c r="K28" s="8">
        <f t="shared" si="1"/>
        <v>5</v>
      </c>
      <c r="L28" s="8">
        <f>SUMPRODUCT(--(($K$27:$K$30*1000+$J$27:$J$30*10+$H$27:$H$30)&gt;($K28*1000+$J28*10+$H28)))+1</f>
        <v>2</v>
      </c>
    </row>
    <row r="29" spans="1:12" ht="15" customHeight="1" x14ac:dyDescent="0.25">
      <c r="A29" s="8" t="s">
        <v>178</v>
      </c>
      <c r="B29" s="8">
        <v>3</v>
      </c>
      <c r="C29" s="29" t="s">
        <v>181</v>
      </c>
      <c r="D29" s="8">
        <f>SUMPRODUCT((Fixture_Grupos!$D$3:$D$74=$C29)*Fixture_Grupos!$H$3:$H$74)+SUMPRODUCT((Fixture_Grupos!$E$3:$E$74=$C29)*Fixture_Grupos!$H$3:$H$74)</f>
        <v>3</v>
      </c>
      <c r="E29" s="8">
        <f>SUMPRODUCT((Fixture_Grupos!$D$3:$D$74=$C29)*Fixture_Grupos!$H$3:$H$74*(Fixture_Grupos!$F$3:$F$74&gt;Fixture_Grupos!$G$3:$G$74))+SUMPRODUCT((Fixture_Grupos!$E$3:$E$74=$C29)*Fixture_Grupos!$H$3:$H$74*(Fixture_Grupos!$G$3:$G$74&gt;Fixture_Grupos!$F$3:$F$74))</f>
        <v>0</v>
      </c>
      <c r="F29" s="8">
        <f>SUMPRODUCT((Fixture_Grupos!$D$3:$D$74=$C29)*Fixture_Grupos!$H$3:$H$74*(Fixture_Grupos!$F$3:$F$74=Fixture_Grupos!$G$3:$G$74))+SUMPRODUCT((Fixture_Grupos!$E$3:$E$74=$C29)*Fixture_Grupos!$H$3:$H$74*(Fixture_Grupos!$G$3:$G$74=Fixture_Grupos!$F$3:$F$74))</f>
        <v>3</v>
      </c>
      <c r="G29" s="8">
        <f>SUMPRODUCT((Fixture_Grupos!$D$3:$D$74=$C29)*Fixture_Grupos!$H$3:$H$74*(Fixture_Grupos!$F$3:$F$74&lt;Fixture_Grupos!$G$3:$G$74))+SUMPRODUCT((Fixture_Grupos!$E$3:$E$74=$C29)*Fixture_Grupos!$H$3:$H$74*(Fixture_Grupos!$G$3:$G$74&lt;Fixture_Grupos!$F$3:$F$74))</f>
        <v>0</v>
      </c>
      <c r="H29" s="8">
        <f>SUMPRODUCT((Fixture_Grupos!$D$3:$D$74=$C29)*Fixture_Grupos!$H$3:$H$74*Fixture_Grupos!$F$3:$F$74)+SUMPRODUCT((Fixture_Grupos!$E$3:$E$74=$C29)*Fixture_Grupos!$H$3:$H$74*Fixture_Grupos!$G$3:$G$74)</f>
        <v>3</v>
      </c>
      <c r="I29" s="8">
        <f>SUMPRODUCT((Fixture_Grupos!$D$3:$D$74=$C29)*Fixture_Grupos!$H$3:$H$74*Fixture_Grupos!$G$3:$G$74)+SUMPRODUCT((Fixture_Grupos!$E$3:$E$74=$C29)*Fixture_Grupos!$H$3:$H$74*Fixture_Grupos!$F$3:$F$74)</f>
        <v>3</v>
      </c>
      <c r="J29" s="8">
        <f t="shared" si="0"/>
        <v>0</v>
      </c>
      <c r="K29" s="8">
        <f t="shared" si="1"/>
        <v>3</v>
      </c>
      <c r="L29" s="8">
        <f>SUMPRODUCT(--(($K$27:$K$30*1000+$J$27:$J$30*10+$H$27:$H$30)&gt;($K29*1000+$J29*10+$H29)))+1</f>
        <v>3</v>
      </c>
    </row>
    <row r="30" spans="1:12" ht="15" customHeight="1" x14ac:dyDescent="0.25">
      <c r="A30" s="8" t="s">
        <v>178</v>
      </c>
      <c r="B30" s="8">
        <v>4</v>
      </c>
      <c r="C30" s="29" t="s">
        <v>183</v>
      </c>
      <c r="D30" s="8">
        <f>SUMPRODUCT((Fixture_Grupos!$D$3:$D$74=$C30)*Fixture_Grupos!$H$3:$H$74)+SUMPRODUCT((Fixture_Grupos!$E$3:$E$74=$C30)*Fixture_Grupos!$H$3:$H$74)</f>
        <v>3</v>
      </c>
      <c r="E30" s="8">
        <f>SUMPRODUCT((Fixture_Grupos!$D$3:$D$74=$C30)*Fixture_Grupos!$H$3:$H$74*(Fixture_Grupos!$F$3:$F$74&gt;Fixture_Grupos!$G$3:$G$74))+SUMPRODUCT((Fixture_Grupos!$E$3:$E$74=$C30)*Fixture_Grupos!$H$3:$H$74*(Fixture_Grupos!$G$3:$G$74&gt;Fixture_Grupos!$F$3:$F$74))</f>
        <v>0</v>
      </c>
      <c r="F30" s="8">
        <f>SUMPRODUCT((Fixture_Grupos!$D$3:$D$74=$C30)*Fixture_Grupos!$H$3:$H$74*(Fixture_Grupos!$F$3:$F$74=Fixture_Grupos!$G$3:$G$74))+SUMPRODUCT((Fixture_Grupos!$E$3:$E$74=$C30)*Fixture_Grupos!$H$3:$H$74*(Fixture_Grupos!$G$3:$G$74=Fixture_Grupos!$F$3:$F$74))</f>
        <v>1</v>
      </c>
      <c r="G30" s="8">
        <f>SUMPRODUCT((Fixture_Grupos!$D$3:$D$74=$C30)*Fixture_Grupos!$H$3:$H$74*(Fixture_Grupos!$F$3:$F$74&lt;Fixture_Grupos!$G$3:$G$74))+SUMPRODUCT((Fixture_Grupos!$E$3:$E$74=$C30)*Fixture_Grupos!$H$3:$H$74*(Fixture_Grupos!$G$3:$G$74&lt;Fixture_Grupos!$F$3:$F$74))</f>
        <v>2</v>
      </c>
      <c r="H30" s="8">
        <f>SUMPRODUCT((Fixture_Grupos!$D$3:$D$74=$C30)*Fixture_Grupos!$H$3:$H$74*Fixture_Grupos!$F$3:$F$74)+SUMPRODUCT((Fixture_Grupos!$E$3:$E$74=$C30)*Fixture_Grupos!$H$3:$H$74*Fixture_Grupos!$G$3:$G$74)</f>
        <v>4</v>
      </c>
      <c r="I30" s="8">
        <f>SUMPRODUCT((Fixture_Grupos!$D$3:$D$74=$C30)*Fixture_Grupos!$H$3:$H$74*Fixture_Grupos!$G$3:$G$74)+SUMPRODUCT((Fixture_Grupos!$E$3:$E$74=$C30)*Fixture_Grupos!$H$3:$H$74*Fixture_Grupos!$F$3:$F$74)</f>
        <v>10</v>
      </c>
      <c r="J30" s="8">
        <f t="shared" si="0"/>
        <v>-6</v>
      </c>
      <c r="K30" s="8">
        <f t="shared" si="1"/>
        <v>1</v>
      </c>
      <c r="L30" s="8">
        <f>SUMPRODUCT(--(($K$27:$K$30*1000+$J$27:$J$30*10+$H$27:$H$30)&gt;($K30*1000+$J30*10+$H30)))+1</f>
        <v>4</v>
      </c>
    </row>
    <row r="31" spans="1:12" ht="15" customHeight="1" x14ac:dyDescent="0.25">
      <c r="A31" s="11" t="s">
        <v>188</v>
      </c>
      <c r="B31" s="11">
        <v>1</v>
      </c>
      <c r="C31" s="30" t="s">
        <v>186</v>
      </c>
      <c r="D31" s="11">
        <f>SUMPRODUCT((Fixture_Grupos!$D$3:$D$74=$C31)*Fixture_Grupos!$H$3:$H$74)+SUMPRODUCT((Fixture_Grupos!$E$3:$E$74=$C31)*Fixture_Grupos!$H$3:$H$74)</f>
        <v>3</v>
      </c>
      <c r="E31" s="11">
        <f>SUMPRODUCT((Fixture_Grupos!$D$3:$D$74=$C31)*Fixture_Grupos!$H$3:$H$74*(Fixture_Grupos!$F$3:$F$74&gt;Fixture_Grupos!$G$3:$G$74))+SUMPRODUCT((Fixture_Grupos!$E$3:$E$74=$C31)*Fixture_Grupos!$H$3:$H$74*(Fixture_Grupos!$G$3:$G$74&gt;Fixture_Grupos!$F$3:$F$74))</f>
        <v>2</v>
      </c>
      <c r="F31" s="11">
        <f>SUMPRODUCT((Fixture_Grupos!$D$3:$D$74=$C31)*Fixture_Grupos!$H$3:$H$74*(Fixture_Grupos!$F$3:$F$74=Fixture_Grupos!$G$3:$G$74))+SUMPRODUCT((Fixture_Grupos!$E$3:$E$74=$C31)*Fixture_Grupos!$H$3:$H$74*(Fixture_Grupos!$G$3:$G$74=Fixture_Grupos!$F$3:$F$74))</f>
        <v>1</v>
      </c>
      <c r="G31" s="11">
        <f>SUMPRODUCT((Fixture_Grupos!$D$3:$D$74=$C31)*Fixture_Grupos!$H$3:$H$74*(Fixture_Grupos!$F$3:$F$74&lt;Fixture_Grupos!$G$3:$G$74))+SUMPRODUCT((Fixture_Grupos!$E$3:$E$74=$C31)*Fixture_Grupos!$H$3:$H$74*(Fixture_Grupos!$G$3:$G$74&lt;Fixture_Grupos!$F$3:$F$74))</f>
        <v>0</v>
      </c>
      <c r="H31" s="11">
        <f>SUMPRODUCT((Fixture_Grupos!$D$3:$D$74=$C31)*Fixture_Grupos!$H$3:$H$74*Fixture_Grupos!$F$3:$F$74)+SUMPRODUCT((Fixture_Grupos!$E$3:$E$74=$C31)*Fixture_Grupos!$H$3:$H$74*Fixture_Grupos!$G$3:$G$74)</f>
        <v>5</v>
      </c>
      <c r="I31" s="11">
        <f>SUMPRODUCT((Fixture_Grupos!$D$3:$D$74=$C31)*Fixture_Grupos!$H$3:$H$74*Fixture_Grupos!$G$3:$G$74)+SUMPRODUCT((Fixture_Grupos!$E$3:$E$74=$C31)*Fixture_Grupos!$H$3:$H$74*Fixture_Grupos!$F$3:$F$74)</f>
        <v>0</v>
      </c>
      <c r="J31" s="11">
        <f t="shared" si="0"/>
        <v>5</v>
      </c>
      <c r="K31" s="11">
        <f t="shared" si="1"/>
        <v>7</v>
      </c>
      <c r="L31" s="11">
        <f>SUMPRODUCT(--(($K$31:$K$34*1000+$J$31:$J$34*10+$H$31:$H$34)&gt;($K31*1000+$J31*10+$H31)))+1</f>
        <v>1</v>
      </c>
    </row>
    <row r="32" spans="1:12" ht="15" customHeight="1" x14ac:dyDescent="0.25">
      <c r="A32" s="11" t="s">
        <v>188</v>
      </c>
      <c r="B32" s="11">
        <v>2</v>
      </c>
      <c r="C32" s="30" t="s">
        <v>189</v>
      </c>
      <c r="D32" s="11">
        <f>SUMPRODUCT((Fixture_Grupos!$D$3:$D$74=$C32)*Fixture_Grupos!$H$3:$H$74)+SUMPRODUCT((Fixture_Grupos!$E$3:$E$74=$C32)*Fixture_Grupos!$H$3:$H$74)</f>
        <v>3</v>
      </c>
      <c r="E32" s="11">
        <f>SUMPRODUCT((Fixture_Grupos!$D$3:$D$74=$C32)*Fixture_Grupos!$H$3:$H$74*(Fixture_Grupos!$F$3:$F$74&gt;Fixture_Grupos!$G$3:$G$74))+SUMPRODUCT((Fixture_Grupos!$E$3:$E$74=$C32)*Fixture_Grupos!$H$3:$H$74*(Fixture_Grupos!$G$3:$G$74&gt;Fixture_Grupos!$F$3:$F$74))</f>
        <v>0</v>
      </c>
      <c r="F32" s="11">
        <f>SUMPRODUCT((Fixture_Grupos!$D$3:$D$74=$C32)*Fixture_Grupos!$H$3:$H$74*(Fixture_Grupos!$F$3:$F$74=Fixture_Grupos!$G$3:$G$74))+SUMPRODUCT((Fixture_Grupos!$E$3:$E$74=$C32)*Fixture_Grupos!$H$3:$H$74*(Fixture_Grupos!$G$3:$G$74=Fixture_Grupos!$F$3:$F$74))</f>
        <v>3</v>
      </c>
      <c r="G32" s="11">
        <f>SUMPRODUCT((Fixture_Grupos!$D$3:$D$74=$C32)*Fixture_Grupos!$H$3:$H$74*(Fixture_Grupos!$F$3:$F$74&lt;Fixture_Grupos!$G$3:$G$74))+SUMPRODUCT((Fixture_Grupos!$E$3:$E$74=$C32)*Fixture_Grupos!$H$3:$H$74*(Fixture_Grupos!$G$3:$G$74&lt;Fixture_Grupos!$F$3:$F$74))</f>
        <v>0</v>
      </c>
      <c r="H32" s="11">
        <f>SUMPRODUCT((Fixture_Grupos!$D$3:$D$74=$C32)*Fixture_Grupos!$H$3:$H$74*Fixture_Grupos!$F$3:$F$74)+SUMPRODUCT((Fixture_Grupos!$E$3:$E$74=$C32)*Fixture_Grupos!$H$3:$H$74*Fixture_Grupos!$G$3:$G$74)</f>
        <v>2</v>
      </c>
      <c r="I32" s="11">
        <f>SUMPRODUCT((Fixture_Grupos!$D$3:$D$74=$C32)*Fixture_Grupos!$H$3:$H$74*Fixture_Grupos!$G$3:$G$74)+SUMPRODUCT((Fixture_Grupos!$E$3:$E$74=$C32)*Fixture_Grupos!$H$3:$H$74*Fixture_Grupos!$F$3:$F$74)</f>
        <v>2</v>
      </c>
      <c r="J32" s="11">
        <f t="shared" si="0"/>
        <v>0</v>
      </c>
      <c r="K32" s="11">
        <f t="shared" si="1"/>
        <v>3</v>
      </c>
      <c r="L32" s="11">
        <f>SUMPRODUCT(--(($K$31:$K$34*1000+$J$31:$J$34*10+$H$31:$H$34)&gt;($K32*1000+$J32*10+$H32)))+1</f>
        <v>2</v>
      </c>
    </row>
    <row r="33" spans="1:12" ht="15" customHeight="1" x14ac:dyDescent="0.25">
      <c r="A33" s="11" t="s">
        <v>188</v>
      </c>
      <c r="B33" s="11">
        <v>3</v>
      </c>
      <c r="C33" s="30" t="s">
        <v>191</v>
      </c>
      <c r="D33" s="11">
        <f>SUMPRODUCT((Fixture_Grupos!$D$3:$D$74=$C33)*Fixture_Grupos!$H$3:$H$74)+SUMPRODUCT((Fixture_Grupos!$E$3:$E$74=$C33)*Fixture_Grupos!$H$3:$H$74)</f>
        <v>3</v>
      </c>
      <c r="E33" s="11">
        <f>SUMPRODUCT((Fixture_Grupos!$D$3:$D$74=$C33)*Fixture_Grupos!$H$3:$H$74*(Fixture_Grupos!$F$3:$F$74&gt;Fixture_Grupos!$G$3:$G$74))+SUMPRODUCT((Fixture_Grupos!$E$3:$E$74=$C33)*Fixture_Grupos!$H$3:$H$74*(Fixture_Grupos!$G$3:$G$74&gt;Fixture_Grupos!$F$3:$F$74))</f>
        <v>0</v>
      </c>
      <c r="F33" s="11">
        <f>SUMPRODUCT((Fixture_Grupos!$D$3:$D$74=$C33)*Fixture_Grupos!$H$3:$H$74*(Fixture_Grupos!$F$3:$F$74=Fixture_Grupos!$G$3:$G$74))+SUMPRODUCT((Fixture_Grupos!$E$3:$E$74=$C33)*Fixture_Grupos!$H$3:$H$74*(Fixture_Grupos!$G$3:$G$74=Fixture_Grupos!$F$3:$F$74))</f>
        <v>2</v>
      </c>
      <c r="G33" s="11">
        <f>SUMPRODUCT((Fixture_Grupos!$D$3:$D$74=$C33)*Fixture_Grupos!$H$3:$H$74*(Fixture_Grupos!$F$3:$F$74&lt;Fixture_Grupos!$G$3:$G$74))+SUMPRODUCT((Fixture_Grupos!$E$3:$E$74=$C33)*Fixture_Grupos!$H$3:$H$74*(Fixture_Grupos!$G$3:$G$74&lt;Fixture_Grupos!$F$3:$F$74))</f>
        <v>1</v>
      </c>
      <c r="H33" s="11">
        <f>SUMPRODUCT((Fixture_Grupos!$D$3:$D$74=$C33)*Fixture_Grupos!$H$3:$H$74*Fixture_Grupos!$F$3:$F$74)+SUMPRODUCT((Fixture_Grupos!$E$3:$E$74=$C33)*Fixture_Grupos!$H$3:$H$74*Fixture_Grupos!$G$3:$G$74)</f>
        <v>1</v>
      </c>
      <c r="I33" s="11">
        <f>SUMPRODUCT((Fixture_Grupos!$D$3:$D$74=$C33)*Fixture_Grupos!$H$3:$H$74*Fixture_Grupos!$G$3:$G$74)+SUMPRODUCT((Fixture_Grupos!$E$3:$E$74=$C33)*Fixture_Grupos!$H$3:$H$74*Fixture_Grupos!$F$3:$F$74)</f>
        <v>5</v>
      </c>
      <c r="J33" s="11">
        <f t="shared" si="0"/>
        <v>-4</v>
      </c>
      <c r="K33" s="11">
        <f t="shared" si="1"/>
        <v>2</v>
      </c>
      <c r="L33" s="11">
        <f>SUMPRODUCT(--(($K$31:$K$34*1000+$J$31:$J$34*10+$H$31:$H$34)&gt;($K33*1000+$J33*10+$H33)))+1</f>
        <v>4</v>
      </c>
    </row>
    <row r="34" spans="1:12" ht="15" customHeight="1" x14ac:dyDescent="0.25">
      <c r="A34" s="11" t="s">
        <v>188</v>
      </c>
      <c r="B34" s="11">
        <v>4</v>
      </c>
      <c r="C34" s="30" t="s">
        <v>193</v>
      </c>
      <c r="D34" s="11">
        <f>SUMPRODUCT((Fixture_Grupos!$D$3:$D$74=$C34)*Fixture_Grupos!$H$3:$H$74)+SUMPRODUCT((Fixture_Grupos!$E$3:$E$74=$C34)*Fixture_Grupos!$H$3:$H$74)</f>
        <v>3</v>
      </c>
      <c r="E34" s="11">
        <f>SUMPRODUCT((Fixture_Grupos!$D$3:$D$74=$C34)*Fixture_Grupos!$H$3:$H$74*(Fixture_Grupos!$F$3:$F$74&gt;Fixture_Grupos!$G$3:$G$74))+SUMPRODUCT((Fixture_Grupos!$E$3:$E$74=$C34)*Fixture_Grupos!$H$3:$H$74*(Fixture_Grupos!$G$3:$G$74&gt;Fixture_Grupos!$F$3:$F$74))</f>
        <v>0</v>
      </c>
      <c r="F34" s="11">
        <f>SUMPRODUCT((Fixture_Grupos!$D$3:$D$74=$C34)*Fixture_Grupos!$H$3:$H$74*(Fixture_Grupos!$F$3:$F$74=Fixture_Grupos!$G$3:$G$74))+SUMPRODUCT((Fixture_Grupos!$E$3:$E$74=$C34)*Fixture_Grupos!$H$3:$H$74*(Fixture_Grupos!$G$3:$G$74=Fixture_Grupos!$F$3:$F$74))</f>
        <v>2</v>
      </c>
      <c r="G34" s="11">
        <f>SUMPRODUCT((Fixture_Grupos!$D$3:$D$74=$C34)*Fixture_Grupos!$H$3:$H$74*(Fixture_Grupos!$F$3:$F$74&lt;Fixture_Grupos!$G$3:$G$74))+SUMPRODUCT((Fixture_Grupos!$E$3:$E$74=$C34)*Fixture_Grupos!$H$3:$H$74*(Fixture_Grupos!$G$3:$G$74&lt;Fixture_Grupos!$F$3:$F$74))</f>
        <v>1</v>
      </c>
      <c r="H34" s="11">
        <f>SUMPRODUCT((Fixture_Grupos!$D$3:$D$74=$C34)*Fixture_Grupos!$H$3:$H$74*Fixture_Grupos!$F$3:$F$74)+SUMPRODUCT((Fixture_Grupos!$E$3:$E$74=$C34)*Fixture_Grupos!$H$3:$H$74*Fixture_Grupos!$G$3:$G$74)</f>
        <v>3</v>
      </c>
      <c r="I34" s="11">
        <f>SUMPRODUCT((Fixture_Grupos!$D$3:$D$74=$C34)*Fixture_Grupos!$H$3:$H$74*Fixture_Grupos!$G$3:$G$74)+SUMPRODUCT((Fixture_Grupos!$E$3:$E$74=$C34)*Fixture_Grupos!$H$3:$H$74*Fixture_Grupos!$F$3:$F$74)</f>
        <v>4</v>
      </c>
      <c r="J34" s="11">
        <f t="shared" si="0"/>
        <v>-1</v>
      </c>
      <c r="K34" s="11">
        <f t="shared" si="1"/>
        <v>2</v>
      </c>
      <c r="L34" s="11">
        <f>SUMPRODUCT(--(($K$31:$K$34*1000+$J$31:$J$34*10+$H$31:$H$34)&gt;($K34*1000+$J34*10+$H34)))+1</f>
        <v>3</v>
      </c>
    </row>
    <row r="35" spans="1:12" ht="15" customHeight="1" x14ac:dyDescent="0.25">
      <c r="A35" s="8" t="s">
        <v>197</v>
      </c>
      <c r="B35" s="8">
        <v>1</v>
      </c>
      <c r="C35" s="29" t="s">
        <v>195</v>
      </c>
      <c r="D35" s="8">
        <f>SUMPRODUCT((Fixture_Grupos!$D$3:$D$74=$C35)*Fixture_Grupos!$H$3:$H$74)+SUMPRODUCT((Fixture_Grupos!$E$3:$E$74=$C35)*Fixture_Grupos!$H$3:$H$74)</f>
        <v>3</v>
      </c>
      <c r="E35" s="8">
        <f>SUMPRODUCT((Fixture_Grupos!$D$3:$D$74=$C35)*Fixture_Grupos!$H$3:$H$74*(Fixture_Grupos!$F$3:$F$74&gt;Fixture_Grupos!$G$3:$G$74))+SUMPRODUCT((Fixture_Grupos!$E$3:$E$74=$C35)*Fixture_Grupos!$H$3:$H$74*(Fixture_Grupos!$G$3:$G$74&gt;Fixture_Grupos!$F$3:$F$74))</f>
        <v>3</v>
      </c>
      <c r="F35" s="8">
        <f>SUMPRODUCT((Fixture_Grupos!$D$3:$D$74=$C35)*Fixture_Grupos!$H$3:$H$74*(Fixture_Grupos!$F$3:$F$74=Fixture_Grupos!$G$3:$G$74))+SUMPRODUCT((Fixture_Grupos!$E$3:$E$74=$C35)*Fixture_Grupos!$H$3:$H$74*(Fixture_Grupos!$G$3:$G$74=Fixture_Grupos!$F$3:$F$74))</f>
        <v>0</v>
      </c>
      <c r="G35" s="8">
        <f>SUMPRODUCT((Fixture_Grupos!$D$3:$D$74=$C35)*Fixture_Grupos!$H$3:$H$74*(Fixture_Grupos!$F$3:$F$74&lt;Fixture_Grupos!$G$3:$G$74))+SUMPRODUCT((Fixture_Grupos!$E$3:$E$74=$C35)*Fixture_Grupos!$H$3:$H$74*(Fixture_Grupos!$G$3:$G$74&lt;Fixture_Grupos!$F$3:$F$74))</f>
        <v>0</v>
      </c>
      <c r="H35" s="8">
        <f>SUMPRODUCT((Fixture_Grupos!$D$3:$D$74=$C35)*Fixture_Grupos!$H$3:$H$74*Fixture_Grupos!$F$3:$F$74)+SUMPRODUCT((Fixture_Grupos!$E$3:$E$74=$C35)*Fixture_Grupos!$H$3:$H$74*Fixture_Grupos!$G$3:$G$74)</f>
        <v>10</v>
      </c>
      <c r="I35" s="8">
        <f>SUMPRODUCT((Fixture_Grupos!$D$3:$D$74=$C35)*Fixture_Grupos!$H$3:$H$74*Fixture_Grupos!$G$3:$G$74)+SUMPRODUCT((Fixture_Grupos!$E$3:$E$74=$C35)*Fixture_Grupos!$H$3:$H$74*Fixture_Grupos!$F$3:$F$74)</f>
        <v>2</v>
      </c>
      <c r="J35" s="8">
        <f t="shared" si="0"/>
        <v>8</v>
      </c>
      <c r="K35" s="8">
        <f t="shared" si="1"/>
        <v>9</v>
      </c>
      <c r="L35" s="8">
        <f>SUMPRODUCT(--(($K$35:$K$38*1000+$J$35:$J$38*10+$H$35:$H$38)&gt;($K35*1000+$J35*10+$H35)))+1</f>
        <v>1</v>
      </c>
    </row>
    <row r="36" spans="1:12" ht="15" customHeight="1" x14ac:dyDescent="0.25">
      <c r="A36" s="8" t="s">
        <v>197</v>
      </c>
      <c r="B36" s="8">
        <v>2</v>
      </c>
      <c r="C36" s="29" t="s">
        <v>35</v>
      </c>
      <c r="D36" s="8">
        <f>SUMPRODUCT((Fixture_Grupos!$D$3:$D$74=$C36)*Fixture_Grupos!$H$3:$H$74)+SUMPRODUCT((Fixture_Grupos!$E$3:$E$74=$C36)*Fixture_Grupos!$H$3:$H$74)</f>
        <v>3</v>
      </c>
      <c r="E36" s="8">
        <f>SUMPRODUCT((Fixture_Grupos!$D$3:$D$74=$C36)*Fixture_Grupos!$H$3:$H$74*(Fixture_Grupos!$F$3:$F$74&gt;Fixture_Grupos!$G$3:$G$74))+SUMPRODUCT((Fixture_Grupos!$E$3:$E$74=$C36)*Fixture_Grupos!$H$3:$H$74*(Fixture_Grupos!$G$3:$G$74&gt;Fixture_Grupos!$F$3:$F$74))</f>
        <v>1</v>
      </c>
      <c r="F36" s="8">
        <f>SUMPRODUCT((Fixture_Grupos!$D$3:$D$74=$C36)*Fixture_Grupos!$H$3:$H$74*(Fixture_Grupos!$F$3:$F$74=Fixture_Grupos!$G$3:$G$74))+SUMPRODUCT((Fixture_Grupos!$E$3:$E$74=$C36)*Fixture_Grupos!$H$3:$H$74*(Fixture_Grupos!$G$3:$G$74=Fixture_Grupos!$F$3:$F$74))</f>
        <v>0</v>
      </c>
      <c r="G36" s="8">
        <f>SUMPRODUCT((Fixture_Grupos!$D$3:$D$74=$C36)*Fixture_Grupos!$H$3:$H$74*(Fixture_Grupos!$F$3:$F$74&lt;Fixture_Grupos!$G$3:$G$74))+SUMPRODUCT((Fixture_Grupos!$E$3:$E$74=$C36)*Fixture_Grupos!$H$3:$H$74*(Fixture_Grupos!$G$3:$G$74&lt;Fixture_Grupos!$F$3:$F$74))</f>
        <v>2</v>
      </c>
      <c r="H36" s="8">
        <f>SUMPRODUCT((Fixture_Grupos!$D$3:$D$74=$C36)*Fixture_Grupos!$H$3:$H$74*Fixture_Grupos!$F$3:$F$74)+SUMPRODUCT((Fixture_Grupos!$E$3:$E$74=$C36)*Fixture_Grupos!$H$3:$H$74*Fixture_Grupos!$G$3:$G$74)</f>
        <v>8</v>
      </c>
      <c r="I36" s="8">
        <f>SUMPRODUCT((Fixture_Grupos!$D$3:$D$74=$C36)*Fixture_Grupos!$H$3:$H$74*Fixture_Grupos!$G$3:$G$74)+SUMPRODUCT((Fixture_Grupos!$E$3:$E$74=$C36)*Fixture_Grupos!$H$3:$H$74*Fixture_Grupos!$F$3:$F$74)</f>
        <v>6</v>
      </c>
      <c r="J36" s="8">
        <f t="shared" si="0"/>
        <v>2</v>
      </c>
      <c r="K36" s="8">
        <f t="shared" si="1"/>
        <v>3</v>
      </c>
      <c r="L36" s="8">
        <f>SUMPRODUCT(--(($K$35:$K$38*1000+$J$35:$J$38*10+$H$35:$H$38)&gt;($K36*1000+$J36*10+$H36)))+1</f>
        <v>3</v>
      </c>
    </row>
    <row r="37" spans="1:12" ht="15" customHeight="1" x14ac:dyDescent="0.25">
      <c r="A37" s="8" t="s">
        <v>197</v>
      </c>
      <c r="B37" s="8">
        <v>3</v>
      </c>
      <c r="C37" s="29" t="s">
        <v>199</v>
      </c>
      <c r="D37" s="8">
        <f>SUMPRODUCT((Fixture_Grupos!$D$3:$D$74=$C37)*Fixture_Grupos!$H$3:$H$74)+SUMPRODUCT((Fixture_Grupos!$E$3:$E$74=$C37)*Fixture_Grupos!$H$3:$H$74)</f>
        <v>3</v>
      </c>
      <c r="E37" s="8">
        <f>SUMPRODUCT((Fixture_Grupos!$D$3:$D$74=$C37)*Fixture_Grupos!$H$3:$H$74*(Fixture_Grupos!$F$3:$F$74&gt;Fixture_Grupos!$G$3:$G$74))+SUMPRODUCT((Fixture_Grupos!$E$3:$E$74=$C37)*Fixture_Grupos!$H$3:$H$74*(Fixture_Grupos!$G$3:$G$74&gt;Fixture_Grupos!$F$3:$F$74))</f>
        <v>0</v>
      </c>
      <c r="F37" s="8">
        <f>SUMPRODUCT((Fixture_Grupos!$D$3:$D$74=$C37)*Fixture_Grupos!$H$3:$H$74*(Fixture_Grupos!$F$3:$F$74=Fixture_Grupos!$G$3:$G$74))+SUMPRODUCT((Fixture_Grupos!$E$3:$E$74=$C37)*Fixture_Grupos!$H$3:$H$74*(Fixture_Grupos!$G$3:$G$74=Fixture_Grupos!$F$3:$F$74))</f>
        <v>0</v>
      </c>
      <c r="G37" s="8">
        <f>SUMPRODUCT((Fixture_Grupos!$D$3:$D$74=$C37)*Fixture_Grupos!$H$3:$H$74*(Fixture_Grupos!$F$3:$F$74&lt;Fixture_Grupos!$G$3:$G$74))+SUMPRODUCT((Fixture_Grupos!$E$3:$E$74=$C37)*Fixture_Grupos!$H$3:$H$74*(Fixture_Grupos!$G$3:$G$74&lt;Fixture_Grupos!$F$3:$F$74))</f>
        <v>3</v>
      </c>
      <c r="H37" s="8">
        <f>SUMPRODUCT((Fixture_Grupos!$D$3:$D$74=$C37)*Fixture_Grupos!$H$3:$H$74*Fixture_Grupos!$F$3:$F$74)+SUMPRODUCT((Fixture_Grupos!$E$3:$E$74=$C37)*Fixture_Grupos!$H$3:$H$74*Fixture_Grupos!$G$3:$G$74)</f>
        <v>1</v>
      </c>
      <c r="I37" s="8">
        <f>SUMPRODUCT((Fixture_Grupos!$D$3:$D$74=$C37)*Fixture_Grupos!$H$3:$H$74*Fixture_Grupos!$G$3:$G$74)+SUMPRODUCT((Fixture_Grupos!$E$3:$E$74=$C37)*Fixture_Grupos!$H$3:$H$74*Fixture_Grupos!$F$3:$F$74)</f>
        <v>12</v>
      </c>
      <c r="J37" s="8">
        <f t="shared" si="0"/>
        <v>-11</v>
      </c>
      <c r="K37" s="8">
        <f t="shared" si="1"/>
        <v>0</v>
      </c>
      <c r="L37" s="8">
        <f>SUMPRODUCT(--(($K$35:$K$38*1000+$J$35:$J$38*10+$H$35:$H$38)&gt;($K37*1000+$J37*10+$H37)))+1</f>
        <v>4</v>
      </c>
    </row>
    <row r="38" spans="1:12" ht="15" customHeight="1" x14ac:dyDescent="0.25">
      <c r="A38" s="8" t="s">
        <v>197</v>
      </c>
      <c r="B38" s="8">
        <v>4</v>
      </c>
      <c r="C38" s="29" t="s">
        <v>201</v>
      </c>
      <c r="D38" s="8">
        <f>SUMPRODUCT((Fixture_Grupos!$D$3:$D$74=$C38)*Fixture_Grupos!$H$3:$H$74)+SUMPRODUCT((Fixture_Grupos!$E$3:$E$74=$C38)*Fixture_Grupos!$H$3:$H$74)</f>
        <v>3</v>
      </c>
      <c r="E38" s="8">
        <f>SUMPRODUCT((Fixture_Grupos!$D$3:$D$74=$C38)*Fixture_Grupos!$H$3:$H$74*(Fixture_Grupos!$F$3:$F$74&gt;Fixture_Grupos!$G$3:$G$74))+SUMPRODUCT((Fixture_Grupos!$E$3:$E$74=$C38)*Fixture_Grupos!$H$3:$H$74*(Fixture_Grupos!$G$3:$G$74&gt;Fixture_Grupos!$F$3:$F$74))</f>
        <v>2</v>
      </c>
      <c r="F38" s="8">
        <f>SUMPRODUCT((Fixture_Grupos!$D$3:$D$74=$C38)*Fixture_Grupos!$H$3:$H$74*(Fixture_Grupos!$F$3:$F$74=Fixture_Grupos!$G$3:$G$74))+SUMPRODUCT((Fixture_Grupos!$E$3:$E$74=$C38)*Fixture_Grupos!$H$3:$H$74*(Fixture_Grupos!$G$3:$G$74=Fixture_Grupos!$F$3:$F$74))</f>
        <v>0</v>
      </c>
      <c r="G38" s="8">
        <f>SUMPRODUCT((Fixture_Grupos!$D$3:$D$74=$C38)*Fixture_Grupos!$H$3:$H$74*(Fixture_Grupos!$F$3:$F$74&lt;Fixture_Grupos!$G$3:$G$74))+SUMPRODUCT((Fixture_Grupos!$E$3:$E$74=$C38)*Fixture_Grupos!$H$3:$H$74*(Fixture_Grupos!$G$3:$G$74&lt;Fixture_Grupos!$F$3:$F$74))</f>
        <v>1</v>
      </c>
      <c r="H38" s="8">
        <f>SUMPRODUCT((Fixture_Grupos!$D$3:$D$74=$C38)*Fixture_Grupos!$H$3:$H$74*Fixture_Grupos!$F$3:$F$74)+SUMPRODUCT((Fixture_Grupos!$E$3:$E$74=$C38)*Fixture_Grupos!$H$3:$H$74*Fixture_Grupos!$G$3:$G$74)</f>
        <v>8</v>
      </c>
      <c r="I38" s="8">
        <f>SUMPRODUCT((Fixture_Grupos!$D$3:$D$74=$C38)*Fixture_Grupos!$H$3:$H$74*Fixture_Grupos!$G$3:$G$74)+SUMPRODUCT((Fixture_Grupos!$E$3:$E$74=$C38)*Fixture_Grupos!$H$3:$H$74*Fixture_Grupos!$F$3:$F$74)</f>
        <v>7</v>
      </c>
      <c r="J38" s="8">
        <f t="shared" si="0"/>
        <v>1</v>
      </c>
      <c r="K38" s="8">
        <f t="shared" si="1"/>
        <v>6</v>
      </c>
      <c r="L38" s="8">
        <f>SUMPRODUCT(--(($K$35:$K$38*1000+$J$35:$J$38*10+$H$35:$H$38)&gt;($K38*1000+$J38*10+$H38)))+1</f>
        <v>2</v>
      </c>
    </row>
    <row r="39" spans="1:12" ht="15" customHeight="1" x14ac:dyDescent="0.25">
      <c r="A39" s="11" t="s">
        <v>205</v>
      </c>
      <c r="B39" s="11">
        <v>1</v>
      </c>
      <c r="C39" s="30" t="s">
        <v>203</v>
      </c>
      <c r="D39" s="11">
        <f>SUMPRODUCT((Fixture_Grupos!$D$3:$D$74=$C39)*Fixture_Grupos!$H$3:$H$74)+SUMPRODUCT((Fixture_Grupos!$E$3:$E$74=$C39)*Fixture_Grupos!$H$3:$H$74)</f>
        <v>3</v>
      </c>
      <c r="E39" s="11">
        <f>SUMPRODUCT((Fixture_Grupos!$D$3:$D$74=$C39)*Fixture_Grupos!$H$3:$H$74*(Fixture_Grupos!$F$3:$F$74&gt;Fixture_Grupos!$G$3:$G$74))+SUMPRODUCT((Fixture_Grupos!$E$3:$E$74=$C39)*Fixture_Grupos!$H$3:$H$74*(Fixture_Grupos!$G$3:$G$74&gt;Fixture_Grupos!$F$3:$F$74))</f>
        <v>3</v>
      </c>
      <c r="F39" s="11">
        <f>SUMPRODUCT((Fixture_Grupos!$D$3:$D$74=$C39)*Fixture_Grupos!$H$3:$H$74*(Fixture_Grupos!$F$3:$F$74=Fixture_Grupos!$G$3:$G$74))+SUMPRODUCT((Fixture_Grupos!$E$3:$E$74=$C39)*Fixture_Grupos!$H$3:$H$74*(Fixture_Grupos!$G$3:$G$74=Fixture_Grupos!$F$3:$F$74))</f>
        <v>0</v>
      </c>
      <c r="G39" s="11">
        <f>SUMPRODUCT((Fixture_Grupos!$D$3:$D$74=$C39)*Fixture_Grupos!$H$3:$H$74*(Fixture_Grupos!$F$3:$F$74&lt;Fixture_Grupos!$G$3:$G$74))+SUMPRODUCT((Fixture_Grupos!$E$3:$E$74=$C39)*Fixture_Grupos!$H$3:$H$74*(Fixture_Grupos!$G$3:$G$74&lt;Fixture_Grupos!$F$3:$F$74))</f>
        <v>0</v>
      </c>
      <c r="H39" s="11">
        <f>SUMPRODUCT((Fixture_Grupos!$D$3:$D$74=$C39)*Fixture_Grupos!$H$3:$H$74*Fixture_Grupos!$F$3:$F$74)+SUMPRODUCT((Fixture_Grupos!$E$3:$E$74=$C39)*Fixture_Grupos!$H$3:$H$74*Fixture_Grupos!$G$3:$G$74)</f>
        <v>8</v>
      </c>
      <c r="I39" s="11">
        <f>SUMPRODUCT((Fixture_Grupos!$D$3:$D$74=$C39)*Fixture_Grupos!$H$3:$H$74*Fixture_Grupos!$G$3:$G$74)+SUMPRODUCT((Fixture_Grupos!$E$3:$E$74=$C39)*Fixture_Grupos!$H$3:$H$74*Fixture_Grupos!$F$3:$F$74)</f>
        <v>1</v>
      </c>
      <c r="J39" s="11">
        <f t="shared" si="0"/>
        <v>7</v>
      </c>
      <c r="K39" s="11">
        <f t="shared" si="1"/>
        <v>9</v>
      </c>
      <c r="L39" s="11">
        <f>SUMPRODUCT(--(($K$39:$K$42*1000+$J$39:$J$42*10+$H$39:$H$42)&gt;($K39*1000+$J39*10+$H39)))+1</f>
        <v>1</v>
      </c>
    </row>
    <row r="40" spans="1:12" ht="15" customHeight="1" x14ac:dyDescent="0.25">
      <c r="A40" s="11" t="s">
        <v>205</v>
      </c>
      <c r="B40" s="11">
        <v>2</v>
      </c>
      <c r="C40" s="30" t="s">
        <v>45</v>
      </c>
      <c r="D40" s="11">
        <f>SUMPRODUCT((Fixture_Grupos!$D$3:$D$74=$C40)*Fixture_Grupos!$H$3:$H$74)+SUMPRODUCT((Fixture_Grupos!$E$3:$E$74=$C40)*Fixture_Grupos!$H$3:$H$74)</f>
        <v>3</v>
      </c>
      <c r="E40" s="11">
        <f>SUMPRODUCT((Fixture_Grupos!$D$3:$D$74=$C40)*Fixture_Grupos!$H$3:$H$74*(Fixture_Grupos!$F$3:$F$74&gt;Fixture_Grupos!$G$3:$G$74))+SUMPRODUCT((Fixture_Grupos!$E$3:$E$74=$C40)*Fixture_Grupos!$H$3:$H$74*(Fixture_Grupos!$G$3:$G$74&gt;Fixture_Grupos!$F$3:$F$74))</f>
        <v>1</v>
      </c>
      <c r="F40" s="11">
        <f>SUMPRODUCT((Fixture_Grupos!$D$3:$D$74=$C40)*Fixture_Grupos!$H$3:$H$74*(Fixture_Grupos!$F$3:$F$74=Fixture_Grupos!$G$3:$G$74))+SUMPRODUCT((Fixture_Grupos!$E$3:$E$74=$C40)*Fixture_Grupos!$H$3:$H$74*(Fixture_Grupos!$G$3:$G$74=Fixture_Grupos!$F$3:$F$74))</f>
        <v>1</v>
      </c>
      <c r="G40" s="11">
        <f>SUMPRODUCT((Fixture_Grupos!$D$3:$D$74=$C40)*Fixture_Grupos!$H$3:$H$74*(Fixture_Grupos!$F$3:$F$74&lt;Fixture_Grupos!$G$3:$G$74))+SUMPRODUCT((Fixture_Grupos!$E$3:$E$74=$C40)*Fixture_Grupos!$H$3:$H$74*(Fixture_Grupos!$G$3:$G$74&lt;Fixture_Grupos!$F$3:$F$74))</f>
        <v>1</v>
      </c>
      <c r="H40" s="11">
        <f>SUMPRODUCT((Fixture_Grupos!$D$3:$D$74=$C40)*Fixture_Grupos!$H$3:$H$74*Fixture_Grupos!$F$3:$F$74)+SUMPRODUCT((Fixture_Grupos!$E$3:$E$74=$C40)*Fixture_Grupos!$H$3:$H$74*Fixture_Grupos!$G$3:$G$74)</f>
        <v>5</v>
      </c>
      <c r="I40" s="11">
        <f>SUMPRODUCT((Fixture_Grupos!$D$3:$D$74=$C40)*Fixture_Grupos!$H$3:$H$74*Fixture_Grupos!$G$3:$G$74)+SUMPRODUCT((Fixture_Grupos!$E$3:$E$74=$C40)*Fixture_Grupos!$H$3:$H$74*Fixture_Grupos!$F$3:$F$74)</f>
        <v>7</v>
      </c>
      <c r="J40" s="11">
        <f t="shared" si="0"/>
        <v>-2</v>
      </c>
      <c r="K40" s="11">
        <f t="shared" si="1"/>
        <v>4</v>
      </c>
      <c r="L40" s="11">
        <f>SUMPRODUCT(--(($K$39:$K$42*1000+$J$39:$J$42*10+$H$39:$H$42)&gt;($K40*1000+$J40*10+$H40)))+1</f>
        <v>3</v>
      </c>
    </row>
    <row r="41" spans="1:12" ht="15" customHeight="1" x14ac:dyDescent="0.25">
      <c r="A41" s="11" t="s">
        <v>205</v>
      </c>
      <c r="B41" s="11">
        <v>3</v>
      </c>
      <c r="C41" s="30" t="s">
        <v>207</v>
      </c>
      <c r="D41" s="11">
        <f>SUMPRODUCT((Fixture_Grupos!$D$3:$D$74=$C41)*Fixture_Grupos!$H$3:$H$74)+SUMPRODUCT((Fixture_Grupos!$E$3:$E$74=$C41)*Fixture_Grupos!$H$3:$H$74)</f>
        <v>3</v>
      </c>
      <c r="E41" s="11">
        <f>SUMPRODUCT((Fixture_Grupos!$D$3:$D$74=$C41)*Fixture_Grupos!$H$3:$H$74*(Fixture_Grupos!$F$3:$F$74&gt;Fixture_Grupos!$G$3:$G$74))+SUMPRODUCT((Fixture_Grupos!$E$3:$E$74=$C41)*Fixture_Grupos!$H$3:$H$74*(Fixture_Grupos!$G$3:$G$74&gt;Fixture_Grupos!$F$3:$F$74))</f>
        <v>1</v>
      </c>
      <c r="F41" s="11">
        <f>SUMPRODUCT((Fixture_Grupos!$D$3:$D$74=$C41)*Fixture_Grupos!$H$3:$H$74*(Fixture_Grupos!$F$3:$F$74=Fixture_Grupos!$G$3:$G$74))+SUMPRODUCT((Fixture_Grupos!$E$3:$E$74=$C41)*Fixture_Grupos!$H$3:$H$74*(Fixture_Grupos!$G$3:$G$74=Fixture_Grupos!$F$3:$F$74))</f>
        <v>1</v>
      </c>
      <c r="G41" s="11">
        <f>SUMPRODUCT((Fixture_Grupos!$D$3:$D$74=$C41)*Fixture_Grupos!$H$3:$H$74*(Fixture_Grupos!$F$3:$F$74&lt;Fixture_Grupos!$G$3:$G$74))+SUMPRODUCT((Fixture_Grupos!$E$3:$E$74=$C41)*Fixture_Grupos!$H$3:$H$74*(Fixture_Grupos!$G$3:$G$74&lt;Fixture_Grupos!$F$3:$F$74))</f>
        <v>1</v>
      </c>
      <c r="H41" s="11">
        <f>SUMPRODUCT((Fixture_Grupos!$D$3:$D$74=$C41)*Fixture_Grupos!$H$3:$H$74*Fixture_Grupos!$F$3:$F$74)+SUMPRODUCT((Fixture_Grupos!$E$3:$E$74=$C41)*Fixture_Grupos!$H$3:$H$74*Fixture_Grupos!$G$3:$G$74)</f>
        <v>6</v>
      </c>
      <c r="I41" s="11">
        <f>SUMPRODUCT((Fixture_Grupos!$D$3:$D$74=$C41)*Fixture_Grupos!$H$3:$H$74*Fixture_Grupos!$G$3:$G$74)+SUMPRODUCT((Fixture_Grupos!$E$3:$E$74=$C41)*Fixture_Grupos!$H$3:$H$74*Fixture_Grupos!$F$3:$F$74)</f>
        <v>6</v>
      </c>
      <c r="J41" s="11">
        <f t="shared" si="0"/>
        <v>0</v>
      </c>
      <c r="K41" s="11">
        <f t="shared" si="1"/>
        <v>4</v>
      </c>
      <c r="L41" s="11">
        <f>SUMPRODUCT(--(($K$39:$K$42*1000+$J$39:$J$42*10+$H$39:$H$42)&gt;($K41*1000+$J41*10+$H41)))+1</f>
        <v>2</v>
      </c>
    </row>
    <row r="42" spans="1:12" ht="15" customHeight="1" x14ac:dyDescent="0.25">
      <c r="A42" s="11" t="s">
        <v>205</v>
      </c>
      <c r="B42" s="11">
        <v>4</v>
      </c>
      <c r="C42" s="30" t="s">
        <v>209</v>
      </c>
      <c r="D42" s="11">
        <f>SUMPRODUCT((Fixture_Grupos!$D$3:$D$74=$C42)*Fixture_Grupos!$H$3:$H$74)+SUMPRODUCT((Fixture_Grupos!$E$3:$E$74=$C42)*Fixture_Grupos!$H$3:$H$74)</f>
        <v>3</v>
      </c>
      <c r="E42" s="11">
        <f>SUMPRODUCT((Fixture_Grupos!$D$3:$D$74=$C42)*Fixture_Grupos!$H$3:$H$74*(Fixture_Grupos!$F$3:$F$74&gt;Fixture_Grupos!$G$3:$G$74))+SUMPRODUCT((Fixture_Grupos!$E$3:$E$74=$C42)*Fixture_Grupos!$H$3:$H$74*(Fixture_Grupos!$G$3:$G$74&gt;Fixture_Grupos!$F$3:$F$74))</f>
        <v>0</v>
      </c>
      <c r="F42" s="11">
        <f>SUMPRODUCT((Fixture_Grupos!$D$3:$D$74=$C42)*Fixture_Grupos!$H$3:$H$74*(Fixture_Grupos!$F$3:$F$74=Fixture_Grupos!$G$3:$G$74))+SUMPRODUCT((Fixture_Grupos!$E$3:$E$74=$C42)*Fixture_Grupos!$H$3:$H$74*(Fixture_Grupos!$G$3:$G$74=Fixture_Grupos!$F$3:$F$74))</f>
        <v>0</v>
      </c>
      <c r="G42" s="11">
        <f>SUMPRODUCT((Fixture_Grupos!$D$3:$D$74=$C42)*Fixture_Grupos!$H$3:$H$74*(Fixture_Grupos!$F$3:$F$74&lt;Fixture_Grupos!$G$3:$G$74))+SUMPRODUCT((Fixture_Grupos!$E$3:$E$74=$C42)*Fixture_Grupos!$H$3:$H$74*(Fixture_Grupos!$G$3:$G$74&lt;Fixture_Grupos!$F$3:$F$74))</f>
        <v>3</v>
      </c>
      <c r="H42" s="11">
        <f>SUMPRODUCT((Fixture_Grupos!$D$3:$D$74=$C42)*Fixture_Grupos!$H$3:$H$74*Fixture_Grupos!$F$3:$F$74)+SUMPRODUCT((Fixture_Grupos!$E$3:$E$74=$C42)*Fixture_Grupos!$H$3:$H$74*Fixture_Grupos!$G$3:$G$74)</f>
        <v>3</v>
      </c>
      <c r="I42" s="11">
        <f>SUMPRODUCT((Fixture_Grupos!$D$3:$D$74=$C42)*Fixture_Grupos!$H$3:$H$74*Fixture_Grupos!$G$3:$G$74)+SUMPRODUCT((Fixture_Grupos!$E$3:$E$74=$C42)*Fixture_Grupos!$H$3:$H$74*Fixture_Grupos!$F$3:$F$74)</f>
        <v>8</v>
      </c>
      <c r="J42" s="11">
        <f t="shared" si="0"/>
        <v>-5</v>
      </c>
      <c r="K42" s="11">
        <f t="shared" si="1"/>
        <v>0</v>
      </c>
      <c r="L42" s="11">
        <f>SUMPRODUCT(--(($K$39:$K$42*1000+$J$39:$J$42*10+$H$39:$H$42)&gt;($K42*1000+$J42*10+$H42)))+1</f>
        <v>4</v>
      </c>
    </row>
    <row r="43" spans="1:12" ht="15" customHeight="1" x14ac:dyDescent="0.25">
      <c r="A43" s="8" t="s">
        <v>213</v>
      </c>
      <c r="B43" s="8">
        <v>1</v>
      </c>
      <c r="C43" s="29" t="s">
        <v>211</v>
      </c>
      <c r="D43" s="8">
        <f>SUMPRODUCT((Fixture_Grupos!$D$3:$D$74=$C43)*Fixture_Grupos!$H$3:$H$74)+SUMPRODUCT((Fixture_Grupos!$E$3:$E$74=$C43)*Fixture_Grupos!$H$3:$H$74)</f>
        <v>3</v>
      </c>
      <c r="E43" s="8">
        <f>SUMPRODUCT((Fixture_Grupos!$D$3:$D$74=$C43)*Fixture_Grupos!$H$3:$H$74*(Fixture_Grupos!$F$3:$F$74&gt;Fixture_Grupos!$G$3:$G$74))+SUMPRODUCT((Fixture_Grupos!$E$3:$E$74=$C43)*Fixture_Grupos!$H$3:$H$74*(Fixture_Grupos!$G$3:$G$74&gt;Fixture_Grupos!$F$3:$F$74))</f>
        <v>1</v>
      </c>
      <c r="F43" s="8">
        <f>SUMPRODUCT((Fixture_Grupos!$D$3:$D$74=$C43)*Fixture_Grupos!$H$3:$H$74*(Fixture_Grupos!$F$3:$F$74=Fixture_Grupos!$G$3:$G$74))+SUMPRODUCT((Fixture_Grupos!$E$3:$E$74=$C43)*Fixture_Grupos!$H$3:$H$74*(Fixture_Grupos!$G$3:$G$74=Fixture_Grupos!$F$3:$F$74))</f>
        <v>2</v>
      </c>
      <c r="G43" s="8">
        <f>SUMPRODUCT((Fixture_Grupos!$D$3:$D$74=$C43)*Fixture_Grupos!$H$3:$H$74*(Fixture_Grupos!$F$3:$F$74&lt;Fixture_Grupos!$G$3:$G$74))+SUMPRODUCT((Fixture_Grupos!$E$3:$E$74=$C43)*Fixture_Grupos!$H$3:$H$74*(Fixture_Grupos!$G$3:$G$74&lt;Fixture_Grupos!$F$3:$F$74))</f>
        <v>0</v>
      </c>
      <c r="H43" s="8">
        <f>SUMPRODUCT((Fixture_Grupos!$D$3:$D$74=$C43)*Fixture_Grupos!$H$3:$H$74*Fixture_Grupos!$F$3:$F$74)+SUMPRODUCT((Fixture_Grupos!$E$3:$E$74=$C43)*Fixture_Grupos!$H$3:$H$74*Fixture_Grupos!$G$3:$G$74)</f>
        <v>6</v>
      </c>
      <c r="I43" s="8">
        <f>SUMPRODUCT((Fixture_Grupos!$D$3:$D$74=$C43)*Fixture_Grupos!$H$3:$H$74*Fixture_Grupos!$G$3:$G$74)+SUMPRODUCT((Fixture_Grupos!$E$3:$E$74=$C43)*Fixture_Grupos!$H$3:$H$74*Fixture_Grupos!$F$3:$F$74)</f>
        <v>1</v>
      </c>
      <c r="J43" s="8">
        <f t="shared" si="0"/>
        <v>5</v>
      </c>
      <c r="K43" s="8">
        <f t="shared" si="1"/>
        <v>5</v>
      </c>
      <c r="L43" s="8">
        <f>SUMPRODUCT(--(($K$43:$K$46*1000+$J$43:$J$46*10+$H$43:$H$46)&gt;($K43*1000+$J43*10+$H43)))+1</f>
        <v>2</v>
      </c>
    </row>
    <row r="44" spans="1:12" ht="15" customHeight="1" x14ac:dyDescent="0.25">
      <c r="A44" s="8" t="s">
        <v>213</v>
      </c>
      <c r="B44" s="8">
        <v>2</v>
      </c>
      <c r="C44" s="29" t="s">
        <v>32</v>
      </c>
      <c r="D44" s="8">
        <f>SUMPRODUCT((Fixture_Grupos!$D$3:$D$74=$C44)*Fixture_Grupos!$H$3:$H$74)+SUMPRODUCT((Fixture_Grupos!$E$3:$E$74=$C44)*Fixture_Grupos!$H$3:$H$74)</f>
        <v>3</v>
      </c>
      <c r="E44" s="8">
        <f>SUMPRODUCT((Fixture_Grupos!$D$3:$D$74=$C44)*Fixture_Grupos!$H$3:$H$74*(Fixture_Grupos!$F$3:$F$74&gt;Fixture_Grupos!$G$3:$G$74))+SUMPRODUCT((Fixture_Grupos!$E$3:$E$74=$C44)*Fixture_Grupos!$H$3:$H$74*(Fixture_Grupos!$G$3:$G$74&gt;Fixture_Grupos!$F$3:$F$74))</f>
        <v>1</v>
      </c>
      <c r="F44" s="8">
        <f>SUMPRODUCT((Fixture_Grupos!$D$3:$D$74=$C44)*Fixture_Grupos!$H$3:$H$74*(Fixture_Grupos!$F$3:$F$74=Fixture_Grupos!$G$3:$G$74))+SUMPRODUCT((Fixture_Grupos!$E$3:$E$74=$C44)*Fixture_Grupos!$H$3:$H$74*(Fixture_Grupos!$G$3:$G$74=Fixture_Grupos!$F$3:$F$74))</f>
        <v>1</v>
      </c>
      <c r="G44" s="8">
        <f>SUMPRODUCT((Fixture_Grupos!$D$3:$D$74=$C44)*Fixture_Grupos!$H$3:$H$74*(Fixture_Grupos!$F$3:$F$74&lt;Fixture_Grupos!$G$3:$G$74))+SUMPRODUCT((Fixture_Grupos!$E$3:$E$74=$C44)*Fixture_Grupos!$H$3:$H$74*(Fixture_Grupos!$G$3:$G$74&lt;Fixture_Grupos!$F$3:$F$74))</f>
        <v>1</v>
      </c>
      <c r="H44" s="8">
        <f>SUMPRODUCT((Fixture_Grupos!$D$3:$D$74=$C44)*Fixture_Grupos!$H$3:$H$74*Fixture_Grupos!$F$3:$F$74)+SUMPRODUCT((Fixture_Grupos!$E$3:$E$74=$C44)*Fixture_Grupos!$H$3:$H$74*Fixture_Grupos!$G$3:$G$74)</f>
        <v>4</v>
      </c>
      <c r="I44" s="8">
        <f>SUMPRODUCT((Fixture_Grupos!$D$3:$D$74=$C44)*Fixture_Grupos!$H$3:$H$74*Fixture_Grupos!$G$3:$G$74)+SUMPRODUCT((Fixture_Grupos!$E$3:$E$74=$C44)*Fixture_Grupos!$H$3:$H$74*Fixture_Grupos!$F$3:$F$74)</f>
        <v>3</v>
      </c>
      <c r="J44" s="8">
        <f t="shared" si="0"/>
        <v>1</v>
      </c>
      <c r="K44" s="8">
        <f t="shared" si="1"/>
        <v>4</v>
      </c>
      <c r="L44" s="8">
        <f>SUMPRODUCT(--(($K$43:$K$46*1000+$J$43:$J$46*10+$H$43:$H$46)&gt;($K44*1000+$J44*10+$H44)))+1</f>
        <v>3</v>
      </c>
    </row>
    <row r="45" spans="1:12" ht="15" customHeight="1" x14ac:dyDescent="0.25">
      <c r="A45" s="8" t="s">
        <v>213</v>
      </c>
      <c r="B45" s="8">
        <v>3</v>
      </c>
      <c r="C45" s="29" t="s">
        <v>215</v>
      </c>
      <c r="D45" s="8">
        <f>SUMPRODUCT((Fixture_Grupos!$D$3:$D$74=$C45)*Fixture_Grupos!$H$3:$H$74)+SUMPRODUCT((Fixture_Grupos!$E$3:$E$74=$C45)*Fixture_Grupos!$H$3:$H$74)</f>
        <v>3</v>
      </c>
      <c r="E45" s="8">
        <f>SUMPRODUCT((Fixture_Grupos!$D$3:$D$74=$C45)*Fixture_Grupos!$H$3:$H$74*(Fixture_Grupos!$F$3:$F$74&gt;Fixture_Grupos!$G$3:$G$74))+SUMPRODUCT((Fixture_Grupos!$E$3:$E$74=$C45)*Fixture_Grupos!$H$3:$H$74*(Fixture_Grupos!$G$3:$G$74&gt;Fixture_Grupos!$F$3:$F$74))</f>
        <v>0</v>
      </c>
      <c r="F45" s="8">
        <f>SUMPRODUCT((Fixture_Grupos!$D$3:$D$74=$C45)*Fixture_Grupos!$H$3:$H$74*(Fixture_Grupos!$F$3:$F$74=Fixture_Grupos!$G$3:$G$74))+SUMPRODUCT((Fixture_Grupos!$E$3:$E$74=$C45)*Fixture_Grupos!$H$3:$H$74*(Fixture_Grupos!$G$3:$G$74=Fixture_Grupos!$F$3:$F$74))</f>
        <v>0</v>
      </c>
      <c r="G45" s="8">
        <f>SUMPRODUCT((Fixture_Grupos!$D$3:$D$74=$C45)*Fixture_Grupos!$H$3:$H$74*(Fixture_Grupos!$F$3:$F$74&lt;Fixture_Grupos!$G$3:$G$74))+SUMPRODUCT((Fixture_Grupos!$E$3:$E$74=$C45)*Fixture_Grupos!$H$3:$H$74*(Fixture_Grupos!$G$3:$G$74&lt;Fixture_Grupos!$F$3:$F$74))</f>
        <v>3</v>
      </c>
      <c r="H45" s="8">
        <f>SUMPRODUCT((Fixture_Grupos!$D$3:$D$74=$C45)*Fixture_Grupos!$H$3:$H$74*Fixture_Grupos!$F$3:$F$74)+SUMPRODUCT((Fixture_Grupos!$E$3:$E$74=$C45)*Fixture_Grupos!$H$3:$H$74*Fixture_Grupos!$G$3:$G$74)</f>
        <v>2</v>
      </c>
      <c r="I45" s="8">
        <f>SUMPRODUCT((Fixture_Grupos!$D$3:$D$74=$C45)*Fixture_Grupos!$H$3:$H$74*Fixture_Grupos!$G$3:$G$74)+SUMPRODUCT((Fixture_Grupos!$E$3:$E$74=$C45)*Fixture_Grupos!$H$3:$H$74*Fixture_Grupos!$F$3:$F$74)</f>
        <v>11</v>
      </c>
      <c r="J45" s="8">
        <f t="shared" si="0"/>
        <v>-9</v>
      </c>
      <c r="K45" s="8">
        <f t="shared" si="1"/>
        <v>0</v>
      </c>
      <c r="L45" s="8">
        <f>SUMPRODUCT(--(($K$43:$K$46*1000+$J$43:$J$46*10+$H$43:$H$46)&gt;($K45*1000+$J45*10+$H45)))+1</f>
        <v>4</v>
      </c>
    </row>
    <row r="46" spans="1:12" ht="15" customHeight="1" x14ac:dyDescent="0.25">
      <c r="A46" s="8" t="s">
        <v>213</v>
      </c>
      <c r="B46" s="8">
        <v>4</v>
      </c>
      <c r="C46" s="29" t="s">
        <v>217</v>
      </c>
      <c r="D46" s="8">
        <f>SUMPRODUCT((Fixture_Grupos!$D$3:$D$74=$C46)*Fixture_Grupos!$H$3:$H$74)+SUMPRODUCT((Fixture_Grupos!$E$3:$E$74=$C46)*Fixture_Grupos!$H$3:$H$74)</f>
        <v>3</v>
      </c>
      <c r="E46" s="8">
        <f>SUMPRODUCT((Fixture_Grupos!$D$3:$D$74=$C46)*Fixture_Grupos!$H$3:$H$74*(Fixture_Grupos!$F$3:$F$74&gt;Fixture_Grupos!$G$3:$G$74))+SUMPRODUCT((Fixture_Grupos!$E$3:$E$74=$C46)*Fixture_Grupos!$H$3:$H$74*(Fixture_Grupos!$G$3:$G$74&gt;Fixture_Grupos!$F$3:$F$74))</f>
        <v>2</v>
      </c>
      <c r="F46" s="8">
        <f>SUMPRODUCT((Fixture_Grupos!$D$3:$D$74=$C46)*Fixture_Grupos!$H$3:$H$74*(Fixture_Grupos!$F$3:$F$74=Fixture_Grupos!$G$3:$G$74))+SUMPRODUCT((Fixture_Grupos!$E$3:$E$74=$C46)*Fixture_Grupos!$H$3:$H$74*(Fixture_Grupos!$G$3:$G$74=Fixture_Grupos!$F$3:$F$74))</f>
        <v>1</v>
      </c>
      <c r="G46" s="8">
        <f>SUMPRODUCT((Fixture_Grupos!$D$3:$D$74=$C46)*Fixture_Grupos!$H$3:$H$74*(Fixture_Grupos!$F$3:$F$74&lt;Fixture_Grupos!$G$3:$G$74))+SUMPRODUCT((Fixture_Grupos!$E$3:$E$74=$C46)*Fixture_Grupos!$H$3:$H$74*(Fixture_Grupos!$G$3:$G$74&lt;Fixture_Grupos!$F$3:$F$74))</f>
        <v>0</v>
      </c>
      <c r="H46" s="8">
        <f>SUMPRODUCT((Fixture_Grupos!$D$3:$D$74=$C46)*Fixture_Grupos!$H$3:$H$74*Fixture_Grupos!$F$3:$F$74)+SUMPRODUCT((Fixture_Grupos!$E$3:$E$74=$C46)*Fixture_Grupos!$H$3:$H$74*Fixture_Grupos!$G$3:$G$74)</f>
        <v>4</v>
      </c>
      <c r="I46" s="8">
        <f>SUMPRODUCT((Fixture_Grupos!$D$3:$D$74=$C46)*Fixture_Grupos!$H$3:$H$74*Fixture_Grupos!$G$3:$G$74)+SUMPRODUCT((Fixture_Grupos!$E$3:$E$74=$C46)*Fixture_Grupos!$H$3:$H$74*Fixture_Grupos!$F$3:$F$74)</f>
        <v>1</v>
      </c>
      <c r="J46" s="8">
        <f t="shared" si="0"/>
        <v>3</v>
      </c>
      <c r="K46" s="8">
        <f t="shared" si="1"/>
        <v>7</v>
      </c>
      <c r="L46" s="8">
        <f>SUMPRODUCT(--(($K$43:$K$46*1000+$J$43:$J$46*10+$H$43:$H$46)&gt;($K46*1000+$J46*10+$H46)))+1</f>
        <v>1</v>
      </c>
    </row>
    <row r="47" spans="1:12" ht="15" customHeight="1" x14ac:dyDescent="0.25">
      <c r="A47" s="11" t="s">
        <v>221</v>
      </c>
      <c r="B47" s="11">
        <v>1</v>
      </c>
      <c r="C47" s="30" t="s">
        <v>219</v>
      </c>
      <c r="D47" s="11">
        <f>SUMPRODUCT((Fixture_Grupos!$D$3:$D$74=$C47)*Fixture_Grupos!$H$3:$H$74)+SUMPRODUCT((Fixture_Grupos!$E$3:$E$74=$C47)*Fixture_Grupos!$H$3:$H$74)</f>
        <v>3</v>
      </c>
      <c r="E47" s="11">
        <f>SUMPRODUCT((Fixture_Grupos!$D$3:$D$74=$C47)*Fixture_Grupos!$H$3:$H$74*(Fixture_Grupos!$F$3:$F$74&gt;Fixture_Grupos!$G$3:$G$74))+SUMPRODUCT((Fixture_Grupos!$E$3:$E$74=$C47)*Fixture_Grupos!$H$3:$H$74*(Fixture_Grupos!$G$3:$G$74&gt;Fixture_Grupos!$F$3:$F$74))</f>
        <v>2</v>
      </c>
      <c r="F47" s="11">
        <f>SUMPRODUCT((Fixture_Grupos!$D$3:$D$74=$C47)*Fixture_Grupos!$H$3:$H$74*(Fixture_Grupos!$F$3:$F$74=Fixture_Grupos!$G$3:$G$74))+SUMPRODUCT((Fixture_Grupos!$E$3:$E$74=$C47)*Fixture_Grupos!$H$3:$H$74*(Fixture_Grupos!$G$3:$G$74=Fixture_Grupos!$F$3:$F$74))</f>
        <v>1</v>
      </c>
      <c r="G47" s="11">
        <f>SUMPRODUCT((Fixture_Grupos!$D$3:$D$74=$C47)*Fixture_Grupos!$H$3:$H$74*(Fixture_Grupos!$F$3:$F$74&lt;Fixture_Grupos!$G$3:$G$74))+SUMPRODUCT((Fixture_Grupos!$E$3:$E$74=$C47)*Fixture_Grupos!$H$3:$H$74*(Fixture_Grupos!$G$3:$G$74&lt;Fixture_Grupos!$F$3:$F$74))</f>
        <v>0</v>
      </c>
      <c r="H47" s="11">
        <f>SUMPRODUCT((Fixture_Grupos!$D$3:$D$74=$C47)*Fixture_Grupos!$H$3:$H$74*Fixture_Grupos!$F$3:$F$74)+SUMPRODUCT((Fixture_Grupos!$E$3:$E$74=$C47)*Fixture_Grupos!$H$3:$H$74*Fixture_Grupos!$G$3:$G$74)</f>
        <v>6</v>
      </c>
      <c r="I47" s="11">
        <f>SUMPRODUCT((Fixture_Grupos!$D$3:$D$74=$C47)*Fixture_Grupos!$H$3:$H$74*Fixture_Grupos!$G$3:$G$74)+SUMPRODUCT((Fixture_Grupos!$E$3:$E$74=$C47)*Fixture_Grupos!$H$3:$H$74*Fixture_Grupos!$F$3:$F$74)</f>
        <v>2</v>
      </c>
      <c r="J47" s="11">
        <f t="shared" si="0"/>
        <v>4</v>
      </c>
      <c r="K47" s="11">
        <f t="shared" si="1"/>
        <v>7</v>
      </c>
      <c r="L47" s="11">
        <f>SUMPRODUCT(--(($K$47:$K$50*1000+$J$47:$J$50*10+$H$47:$H$50)&gt;($K47*1000+$J47*10+$H47)))+1</f>
        <v>1</v>
      </c>
    </row>
    <row r="48" spans="1:12" ht="15" customHeight="1" x14ac:dyDescent="0.25">
      <c r="A48" s="11" t="s">
        <v>221</v>
      </c>
      <c r="B48" s="11">
        <v>2</v>
      </c>
      <c r="C48" s="30" t="s">
        <v>222</v>
      </c>
      <c r="D48" s="11">
        <f>SUMPRODUCT((Fixture_Grupos!$D$3:$D$74=$C48)*Fixture_Grupos!$H$3:$H$74)+SUMPRODUCT((Fixture_Grupos!$E$3:$E$74=$C48)*Fixture_Grupos!$H$3:$H$74)</f>
        <v>3</v>
      </c>
      <c r="E48" s="11">
        <f>SUMPRODUCT((Fixture_Grupos!$D$3:$D$74=$C48)*Fixture_Grupos!$H$3:$H$74*(Fixture_Grupos!$F$3:$F$74&gt;Fixture_Grupos!$G$3:$G$74))+SUMPRODUCT((Fixture_Grupos!$E$3:$E$74=$C48)*Fixture_Grupos!$H$3:$H$74*(Fixture_Grupos!$G$3:$G$74&gt;Fixture_Grupos!$F$3:$F$74))</f>
        <v>2</v>
      </c>
      <c r="F48" s="11">
        <f>SUMPRODUCT((Fixture_Grupos!$D$3:$D$74=$C48)*Fixture_Grupos!$H$3:$H$74*(Fixture_Grupos!$F$3:$F$74=Fixture_Grupos!$G$3:$G$74))+SUMPRODUCT((Fixture_Grupos!$E$3:$E$74=$C48)*Fixture_Grupos!$H$3:$H$74*(Fixture_Grupos!$G$3:$G$74=Fixture_Grupos!$F$3:$F$74))</f>
        <v>0</v>
      </c>
      <c r="G48" s="11">
        <f>SUMPRODUCT((Fixture_Grupos!$D$3:$D$74=$C48)*Fixture_Grupos!$H$3:$H$74*(Fixture_Grupos!$F$3:$F$74&lt;Fixture_Grupos!$G$3:$G$74))+SUMPRODUCT((Fixture_Grupos!$E$3:$E$74=$C48)*Fixture_Grupos!$H$3:$H$74*(Fixture_Grupos!$G$3:$G$74&lt;Fixture_Grupos!$F$3:$F$74))</f>
        <v>1</v>
      </c>
      <c r="H48" s="11">
        <f>SUMPRODUCT((Fixture_Grupos!$D$3:$D$74=$C48)*Fixture_Grupos!$H$3:$H$74*Fixture_Grupos!$F$3:$F$74)+SUMPRODUCT((Fixture_Grupos!$E$3:$E$74=$C48)*Fixture_Grupos!$H$3:$H$74*Fixture_Grupos!$G$3:$G$74)</f>
        <v>5</v>
      </c>
      <c r="I48" s="11">
        <f>SUMPRODUCT((Fixture_Grupos!$D$3:$D$74=$C48)*Fixture_Grupos!$H$3:$H$74*Fixture_Grupos!$G$3:$G$74)+SUMPRODUCT((Fixture_Grupos!$E$3:$E$74=$C48)*Fixture_Grupos!$H$3:$H$74*Fixture_Grupos!$F$3:$F$74)</f>
        <v>5</v>
      </c>
      <c r="J48" s="11">
        <f t="shared" si="0"/>
        <v>0</v>
      </c>
      <c r="K48" s="11">
        <f t="shared" si="1"/>
        <v>6</v>
      </c>
      <c r="L48" s="11">
        <f>SUMPRODUCT(--(($K$47:$K$50*1000+$J$47:$J$50*10+$H$47:$H$50)&gt;($K48*1000+$J48*10+$H48)))+1</f>
        <v>2</v>
      </c>
    </row>
    <row r="49" spans="1:12" ht="15" customHeight="1" x14ac:dyDescent="0.25">
      <c r="A49" s="11" t="s">
        <v>221</v>
      </c>
      <c r="B49" s="11">
        <v>3</v>
      </c>
      <c r="C49" s="30" t="s">
        <v>52</v>
      </c>
      <c r="D49" s="11">
        <f>SUMPRODUCT((Fixture_Grupos!$D$3:$D$74=$C49)*Fixture_Grupos!$H$3:$H$74)+SUMPRODUCT((Fixture_Grupos!$E$3:$E$74=$C49)*Fixture_Grupos!$H$3:$H$74)</f>
        <v>3</v>
      </c>
      <c r="E49" s="11">
        <f>SUMPRODUCT((Fixture_Grupos!$D$3:$D$74=$C49)*Fixture_Grupos!$H$3:$H$74*(Fixture_Grupos!$F$3:$F$74&gt;Fixture_Grupos!$G$3:$G$74))+SUMPRODUCT((Fixture_Grupos!$E$3:$E$74=$C49)*Fixture_Grupos!$H$3:$H$74*(Fixture_Grupos!$G$3:$G$74&gt;Fixture_Grupos!$F$3:$F$74))</f>
        <v>1</v>
      </c>
      <c r="F49" s="11">
        <f>SUMPRODUCT((Fixture_Grupos!$D$3:$D$74=$C49)*Fixture_Grupos!$H$3:$H$74*(Fixture_Grupos!$F$3:$F$74=Fixture_Grupos!$G$3:$G$74))+SUMPRODUCT((Fixture_Grupos!$E$3:$E$74=$C49)*Fixture_Grupos!$H$3:$H$74*(Fixture_Grupos!$G$3:$G$74=Fixture_Grupos!$F$3:$F$74))</f>
        <v>1</v>
      </c>
      <c r="G49" s="11">
        <f>SUMPRODUCT((Fixture_Grupos!$D$3:$D$74=$C49)*Fixture_Grupos!$H$3:$H$74*(Fixture_Grupos!$F$3:$F$74&lt;Fixture_Grupos!$G$3:$G$74))+SUMPRODUCT((Fixture_Grupos!$E$3:$E$74=$C49)*Fixture_Grupos!$H$3:$H$74*(Fixture_Grupos!$G$3:$G$74&lt;Fixture_Grupos!$F$3:$F$74))</f>
        <v>1</v>
      </c>
      <c r="H49" s="11">
        <f>SUMPRODUCT((Fixture_Grupos!$D$3:$D$74=$C49)*Fixture_Grupos!$H$3:$H$74*Fixture_Grupos!$F$3:$F$74)+SUMPRODUCT((Fixture_Grupos!$E$3:$E$74=$C49)*Fixture_Grupos!$H$3:$H$74*Fixture_Grupos!$G$3:$G$74)</f>
        <v>2</v>
      </c>
      <c r="I49" s="11">
        <f>SUMPRODUCT((Fixture_Grupos!$D$3:$D$74=$C49)*Fixture_Grupos!$H$3:$H$74*Fixture_Grupos!$G$3:$G$74)+SUMPRODUCT((Fixture_Grupos!$E$3:$E$74=$C49)*Fixture_Grupos!$H$3:$H$74*Fixture_Grupos!$F$3:$F$74)</f>
        <v>2</v>
      </c>
      <c r="J49" s="11">
        <f t="shared" si="0"/>
        <v>0</v>
      </c>
      <c r="K49" s="11">
        <f t="shared" si="1"/>
        <v>4</v>
      </c>
      <c r="L49" s="11">
        <f>SUMPRODUCT(--(($K$47:$K$50*1000+$J$47:$J$50*10+$H$47:$H$50)&gt;($K49*1000+$J49*10+$H49)))+1</f>
        <v>3</v>
      </c>
    </row>
    <row r="50" spans="1:12" ht="15" customHeight="1" x14ac:dyDescent="0.25">
      <c r="A50" s="11" t="s">
        <v>221</v>
      </c>
      <c r="B50" s="11">
        <v>4</v>
      </c>
      <c r="C50" s="30" t="s">
        <v>225</v>
      </c>
      <c r="D50" s="11">
        <f>SUMPRODUCT((Fixture_Grupos!$D$3:$D$74=$C50)*Fixture_Grupos!$H$3:$H$74)+SUMPRODUCT((Fixture_Grupos!$E$3:$E$74=$C50)*Fixture_Grupos!$H$3:$H$74)</f>
        <v>3</v>
      </c>
      <c r="E50" s="11">
        <f>SUMPRODUCT((Fixture_Grupos!$D$3:$D$74=$C50)*Fixture_Grupos!$H$3:$H$74*(Fixture_Grupos!$F$3:$F$74&gt;Fixture_Grupos!$G$3:$G$74))+SUMPRODUCT((Fixture_Grupos!$E$3:$E$74=$C50)*Fixture_Grupos!$H$3:$H$74*(Fixture_Grupos!$G$3:$G$74&gt;Fixture_Grupos!$F$3:$F$74))</f>
        <v>0</v>
      </c>
      <c r="F50" s="11">
        <f>SUMPRODUCT((Fixture_Grupos!$D$3:$D$74=$C50)*Fixture_Grupos!$H$3:$H$74*(Fixture_Grupos!$F$3:$F$74=Fixture_Grupos!$G$3:$G$74))+SUMPRODUCT((Fixture_Grupos!$E$3:$E$74=$C50)*Fixture_Grupos!$H$3:$H$74*(Fixture_Grupos!$G$3:$G$74=Fixture_Grupos!$F$3:$F$74))</f>
        <v>0</v>
      </c>
      <c r="G50" s="11">
        <f>SUMPRODUCT((Fixture_Grupos!$D$3:$D$74=$C50)*Fixture_Grupos!$H$3:$H$74*(Fixture_Grupos!$F$3:$F$74&lt;Fixture_Grupos!$G$3:$G$74))+SUMPRODUCT((Fixture_Grupos!$E$3:$E$74=$C50)*Fixture_Grupos!$H$3:$H$74*(Fixture_Grupos!$G$3:$G$74&lt;Fixture_Grupos!$F$3:$F$74))</f>
        <v>3</v>
      </c>
      <c r="H50" s="11">
        <f>SUMPRODUCT((Fixture_Grupos!$D$3:$D$74=$C50)*Fixture_Grupos!$H$3:$H$74*Fixture_Grupos!$F$3:$F$74)+SUMPRODUCT((Fixture_Grupos!$E$3:$E$74=$C50)*Fixture_Grupos!$H$3:$H$74*Fixture_Grupos!$G$3:$G$74)</f>
        <v>0</v>
      </c>
      <c r="I50" s="11">
        <f>SUMPRODUCT((Fixture_Grupos!$D$3:$D$74=$C50)*Fixture_Grupos!$H$3:$H$74*Fixture_Grupos!$G$3:$G$74)+SUMPRODUCT((Fixture_Grupos!$E$3:$E$74=$C50)*Fixture_Grupos!$H$3:$H$74*Fixture_Grupos!$F$3:$F$74)</f>
        <v>4</v>
      </c>
      <c r="J50" s="11">
        <f t="shared" si="0"/>
        <v>-4</v>
      </c>
      <c r="K50" s="11">
        <f t="shared" si="1"/>
        <v>0</v>
      </c>
      <c r="L50" s="11">
        <f>SUMPRODUCT(--(($K$47:$K$50*1000+$J$47:$J$50*10+$H$47:$H$50)&gt;($K50*1000+$J50*10+$H50)))+1</f>
        <v>4</v>
      </c>
    </row>
    <row r="51" spans="1:12" ht="15.75" customHeight="1" x14ac:dyDescent="0.25"/>
    <row r="52" spans="1:12" ht="15" customHeight="1" x14ac:dyDescent="0.25">
      <c r="A52" s="32" t="s">
        <v>453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15.75" customHeight="1" x14ac:dyDescent="0.25"/>
    <row r="54" spans="1:12" ht="15.75" customHeight="1" x14ac:dyDescent="0.25"/>
    <row r="55" spans="1:12" ht="15.75" customHeight="1" x14ac:dyDescent="0.25"/>
    <row r="56" spans="1:12" ht="15.75" customHeight="1" x14ac:dyDescent="0.25"/>
    <row r="57" spans="1:12" ht="15.75" customHeight="1" x14ac:dyDescent="0.25"/>
    <row r="58" spans="1:12" ht="15.75" customHeight="1" x14ac:dyDescent="0.25"/>
    <row r="59" spans="1:12" ht="15.75" customHeight="1" x14ac:dyDescent="0.25"/>
    <row r="60" spans="1:12" ht="15.75" customHeight="1" x14ac:dyDescent="0.25"/>
    <row r="61" spans="1:12" ht="15.75" customHeight="1" x14ac:dyDescent="0.25"/>
    <row r="62" spans="1:12" ht="15.75" customHeight="1" x14ac:dyDescent="0.25"/>
    <row r="63" spans="1:12" ht="15.75" customHeight="1" x14ac:dyDescent="0.25"/>
    <row r="64" spans="1:1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52:L52"/>
    <mergeCell ref="A1:L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00"/>
  <sheetViews>
    <sheetView showGridLines="0" tabSelected="1" workbookViewId="0">
      <pane ySplit="2" topLeftCell="A3" activePane="bottomLeft" state="frozen"/>
      <selection pane="bottomLeft" activeCell="E30" sqref="E30"/>
    </sheetView>
  </sheetViews>
  <sheetFormatPr baseColWidth="10" defaultColWidth="14.42578125" defaultRowHeight="15" customHeight="1" x14ac:dyDescent="0.25"/>
  <cols>
    <col min="1" max="1" width="16" customWidth="1"/>
    <col min="2" max="2" width="9" customWidth="1"/>
    <col min="3" max="3" width="22" customWidth="1"/>
    <col min="4" max="5" width="8" customWidth="1"/>
    <col min="6" max="6" width="22" customWidth="1"/>
    <col min="7" max="7" width="26" customWidth="1"/>
    <col min="8" max="26" width="8.7109375" customWidth="1"/>
  </cols>
  <sheetData>
    <row r="1" spans="1:12" ht="24" customHeight="1" x14ac:dyDescent="0.25">
      <c r="A1" s="34" t="s">
        <v>0</v>
      </c>
      <c r="B1" s="33"/>
      <c r="C1" s="33"/>
      <c r="D1" s="33"/>
      <c r="E1" s="33"/>
      <c r="F1" s="33"/>
      <c r="G1" s="33"/>
    </row>
    <row r="2" spans="1:12" ht="15" customHeight="1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27" t="s">
        <v>8</v>
      </c>
      <c r="I2" s="27" t="s">
        <v>9</v>
      </c>
      <c r="J2" s="27" t="s">
        <v>10</v>
      </c>
      <c r="K2" t="s">
        <v>11</v>
      </c>
      <c r="L2" t="s">
        <v>12</v>
      </c>
    </row>
    <row r="3" spans="1:12" ht="15" customHeight="1" x14ac:dyDescent="0.25">
      <c r="A3" s="8" t="s">
        <v>13</v>
      </c>
      <c r="B3" s="8">
        <v>1</v>
      </c>
      <c r="C3" s="31" t="str">
        <f t="array" ref="C3">INDEX(Posiciones!$C$3:$C$50,SUMPRODUCT((Posiciones!$A$3:$A$50="A")*(Posiciones!$L$3:$L$50=2)*ROW(Posiciones!$A$3:$A$50))-2)</f>
        <v>Sudáfrica</v>
      </c>
      <c r="D3" s="26">
        <v>0</v>
      </c>
      <c r="E3" s="26">
        <v>1</v>
      </c>
      <c r="F3" s="31" t="str">
        <f t="array" ref="F3">INDEX(Posiciones!$C$3:$C$50,SUMPRODUCT((Posiciones!$A$3:$A$50="B")*(Posiciones!$L$3:$L$50=2)*ROW(Posiciones!$A$3:$A$50))-2)</f>
        <v>Canadá</v>
      </c>
      <c r="G3" s="31" t="s">
        <v>14</v>
      </c>
      <c r="I3" s="23" t="s">
        <v>15</v>
      </c>
      <c r="J3" s="23" t="s">
        <v>16</v>
      </c>
    </row>
    <row r="4" spans="1:12" ht="15" customHeight="1" x14ac:dyDescent="0.25">
      <c r="A4" s="8" t="s">
        <v>13</v>
      </c>
      <c r="B4" s="8">
        <v>2</v>
      </c>
      <c r="C4" s="31" t="str">
        <f t="array" ref="C4">INDEX(Posiciones!$C$3:$C$50,SUMPRODUCT((Posiciones!$A$3:$A$50="C")*(Posiciones!$L$3:$L$50=1)*ROW(Posiciones!$A$3:$A$50))-2)</f>
        <v>Brasil</v>
      </c>
      <c r="D4" s="26">
        <v>2</v>
      </c>
      <c r="E4" s="26">
        <v>1</v>
      </c>
      <c r="F4" s="31" t="str">
        <f t="array" ref="F4">INDEX(Posiciones!$C$3:$C$50,SUMPRODUCT((Posiciones!$A$3:$A$50="F")*(Posiciones!$L$3:$L$50=2)*ROW(Posiciones!$A$3:$A$50))-2)</f>
        <v>Japón</v>
      </c>
      <c r="G4" s="31" t="s">
        <v>14</v>
      </c>
      <c r="I4" s="23" t="s">
        <v>17</v>
      </c>
      <c r="J4" s="23" t="s">
        <v>18</v>
      </c>
    </row>
    <row r="5" spans="1:12" ht="15" customHeight="1" x14ac:dyDescent="0.25">
      <c r="A5" s="8" t="s">
        <v>13</v>
      </c>
      <c r="B5" s="8">
        <v>3</v>
      </c>
      <c r="C5" s="31" t="str">
        <f t="array" ref="C5">INDEX(Posiciones!$C$3:$C$50,SUMPRODUCT((Posiciones!$A$3:$A$50="E")*(Posiciones!$L$3:$L$50=1)*ROW(Posiciones!$A$3:$A$50))-2)</f>
        <v>Alemania</v>
      </c>
      <c r="D5" s="26">
        <v>1</v>
      </c>
      <c r="E5" s="26">
        <v>1</v>
      </c>
      <c r="F5" s="31" t="s">
        <v>19</v>
      </c>
      <c r="G5" s="31" t="s">
        <v>14</v>
      </c>
      <c r="I5" s="23" t="s">
        <v>20</v>
      </c>
      <c r="J5" s="23" t="s">
        <v>21</v>
      </c>
      <c r="K5">
        <v>3</v>
      </c>
      <c r="L5">
        <v>4</v>
      </c>
    </row>
    <row r="6" spans="1:12" ht="15" customHeight="1" x14ac:dyDescent="0.25">
      <c r="A6" s="8" t="s">
        <v>13</v>
      </c>
      <c r="B6" s="8">
        <v>4</v>
      </c>
      <c r="C6" s="31" t="str">
        <f t="array" ref="C6">INDEX(Posiciones!$C$3:$C$50,SUMPRODUCT((Posiciones!$A$3:$A$50="F")*(Posiciones!$L$3:$L$50=1)*ROW(Posiciones!$A$3:$A$50))-2)</f>
        <v>Países Bajos</v>
      </c>
      <c r="D6" s="26">
        <v>1</v>
      </c>
      <c r="E6" s="26">
        <v>1</v>
      </c>
      <c r="F6" s="31" t="str">
        <f t="array" ref="F6">INDEX(Posiciones!$C$3:$C$50,SUMPRODUCT((Posiciones!$A$3:$A$50="C")*(Posiciones!$L$3:$L$50=2)*ROW(Posiciones!$A$3:$A$50))-2)</f>
        <v>Marruecos</v>
      </c>
      <c r="G6" s="31" t="s">
        <v>14</v>
      </c>
      <c r="I6" s="23" t="s">
        <v>22</v>
      </c>
      <c r="J6" s="23" t="s">
        <v>23</v>
      </c>
      <c r="K6">
        <v>2</v>
      </c>
      <c r="L6">
        <v>3</v>
      </c>
    </row>
    <row r="7" spans="1:12" ht="15" customHeight="1" x14ac:dyDescent="0.25">
      <c r="A7" s="8" t="s">
        <v>13</v>
      </c>
      <c r="B7" s="8">
        <v>5</v>
      </c>
      <c r="C7" s="31" t="str">
        <f t="array" ref="C7">INDEX(Posiciones!$C$3:$C$50,SUMPRODUCT((Posiciones!$A$3:$A$50="E")*(Posiciones!$L$3:$L$50=2)*ROW(Posiciones!$A$3:$A$50))-2)</f>
        <v>Costa de Marfil</v>
      </c>
      <c r="D7" s="26">
        <v>1</v>
      </c>
      <c r="E7" s="26">
        <v>2</v>
      </c>
      <c r="F7" s="31" t="str">
        <f t="array" ref="F7">INDEX(Posiciones!$C$3:$C$50,SUMPRODUCT((Posiciones!$A$3:$A$50="I")*(Posiciones!$L$3:$L$50=2)*ROW(Posiciones!$A$3:$A$50))-2)</f>
        <v>Noruega</v>
      </c>
      <c r="G7" s="31" t="s">
        <v>14</v>
      </c>
      <c r="I7" s="23" t="s">
        <v>24</v>
      </c>
      <c r="J7" s="23" t="s">
        <v>25</v>
      </c>
    </row>
    <row r="8" spans="1:12" ht="15" customHeight="1" x14ac:dyDescent="0.25">
      <c r="A8" s="8" t="s">
        <v>13</v>
      </c>
      <c r="B8" s="8">
        <v>6</v>
      </c>
      <c r="C8" s="31" t="str">
        <f t="array" ref="C8">INDEX(Posiciones!$C$3:$C$50,SUMPRODUCT((Posiciones!$A$3:$A$50="I")*(Posiciones!$L$3:$L$50=1)*ROW(Posiciones!$A$3:$A$50))-2)</f>
        <v>Francia</v>
      </c>
      <c r="D8" s="26">
        <v>3</v>
      </c>
      <c r="E8" s="26">
        <v>0</v>
      </c>
      <c r="F8" s="31" t="s">
        <v>26</v>
      </c>
      <c r="G8" s="31" t="s">
        <v>14</v>
      </c>
      <c r="I8" s="23" t="s">
        <v>27</v>
      </c>
      <c r="J8" s="23" t="s">
        <v>28</v>
      </c>
    </row>
    <row r="9" spans="1:12" ht="15" customHeight="1" x14ac:dyDescent="0.25">
      <c r="A9" s="8" t="s">
        <v>13</v>
      </c>
      <c r="B9" s="8">
        <v>7</v>
      </c>
      <c r="C9" s="31" t="str">
        <f t="array" ref="C9">INDEX(Posiciones!$C$3:$C$50,SUMPRODUCT((Posiciones!$A$3:$A$50="A")*(Posiciones!$L$3:$L$50=1)*ROW(Posiciones!$A$3:$A$50))-2)</f>
        <v>México</v>
      </c>
      <c r="D9" s="26">
        <v>2</v>
      </c>
      <c r="E9" s="26">
        <v>0</v>
      </c>
      <c r="F9" s="31" t="s">
        <v>29</v>
      </c>
      <c r="G9" s="31" t="s">
        <v>14</v>
      </c>
      <c r="I9" s="23" t="s">
        <v>30</v>
      </c>
      <c r="J9" s="23" t="s">
        <v>31</v>
      </c>
    </row>
    <row r="10" spans="1:12" ht="15" customHeight="1" x14ac:dyDescent="0.25">
      <c r="A10" s="8" t="s">
        <v>13</v>
      </c>
      <c r="B10" s="8">
        <v>8</v>
      </c>
      <c r="C10" s="31" t="str">
        <f t="array" ref="C10">INDEX(Posiciones!$C$3:$C$50,SUMPRODUCT((Posiciones!$A$3:$A$50="L")*(Posiciones!$L$3:$L$50=1)*ROW(Posiciones!$A$3:$A$50))-2)</f>
        <v>Inglaterra</v>
      </c>
      <c r="D10" s="26">
        <v>2</v>
      </c>
      <c r="E10" s="26">
        <v>1</v>
      </c>
      <c r="F10" s="31" t="s">
        <v>32</v>
      </c>
      <c r="G10" s="31" t="s">
        <v>14</v>
      </c>
      <c r="I10" s="23" t="s">
        <v>33</v>
      </c>
      <c r="J10" s="23" t="s">
        <v>34</v>
      </c>
    </row>
    <row r="11" spans="1:12" ht="15" customHeight="1" x14ac:dyDescent="0.25">
      <c r="A11" s="8" t="s">
        <v>13</v>
      </c>
      <c r="B11" s="8">
        <v>9</v>
      </c>
      <c r="C11" s="31" t="str">
        <f t="array" ref="C11">INDEX(Posiciones!$C$3:$C$50,SUMPRODUCT((Posiciones!$A$3:$A$50="G")*(Posiciones!$L$3:$L$50=1)*ROW(Posiciones!$A$3:$A$50))-2)</f>
        <v>Bélgica</v>
      </c>
      <c r="D11" s="26">
        <v>3</v>
      </c>
      <c r="E11" s="26">
        <v>2</v>
      </c>
      <c r="F11" s="31" t="s">
        <v>35</v>
      </c>
      <c r="G11" s="31" t="s">
        <v>14</v>
      </c>
      <c r="I11" s="23" t="s">
        <v>36</v>
      </c>
      <c r="J11" s="23" t="s">
        <v>37</v>
      </c>
    </row>
    <row r="12" spans="1:12" ht="15" customHeight="1" x14ac:dyDescent="0.25">
      <c r="A12" s="8" t="s">
        <v>13</v>
      </c>
      <c r="B12" s="8">
        <v>10</v>
      </c>
      <c r="C12" s="31" t="str">
        <f t="array" ref="C12">INDEX(Posiciones!$C$3:$C$50,SUMPRODUCT((Posiciones!$A$3:$A$50="D")*(Posiciones!$L$3:$L$50=1)*ROW(Posiciones!$A$3:$A$50))-2)</f>
        <v>Estados Unidos</v>
      </c>
      <c r="D12" s="26">
        <v>2</v>
      </c>
      <c r="E12" s="26">
        <v>0</v>
      </c>
      <c r="F12" s="31" t="s">
        <v>38</v>
      </c>
      <c r="G12" s="31" t="s">
        <v>14</v>
      </c>
      <c r="I12" s="23" t="s">
        <v>39</v>
      </c>
      <c r="J12" s="23" t="s">
        <v>40</v>
      </c>
    </row>
    <row r="13" spans="1:12" ht="15" customHeight="1" x14ac:dyDescent="0.25">
      <c r="A13" s="8" t="s">
        <v>13</v>
      </c>
      <c r="B13" s="8">
        <v>11</v>
      </c>
      <c r="C13" s="31" t="str">
        <f t="array" ref="C13">INDEX(Posiciones!$C$3:$C$50,SUMPRODUCT((Posiciones!$A$3:$A$50="H")*(Posiciones!$L$3:$L$50=1)*ROW(Posiciones!$A$3:$A$50))-2)</f>
        <v>España</v>
      </c>
      <c r="D13" s="26">
        <v>3</v>
      </c>
      <c r="E13" s="26">
        <v>0</v>
      </c>
      <c r="F13" s="31" t="str">
        <f t="array" ref="F13">INDEX(Posiciones!$C$3:$C$50,SUMPRODUCT((Posiciones!$A$3:$A$50="J")*(Posiciones!$L$3:$L$50=2)*ROW(Posiciones!$A$3:$A$50))-2)</f>
        <v>Austria</v>
      </c>
      <c r="G13" s="31" t="s">
        <v>14</v>
      </c>
      <c r="I13" s="23" t="s">
        <v>41</v>
      </c>
      <c r="J13" s="23" t="s">
        <v>42</v>
      </c>
    </row>
    <row r="14" spans="1:12" ht="15" customHeight="1" x14ac:dyDescent="0.25">
      <c r="A14" s="8" t="s">
        <v>13</v>
      </c>
      <c r="B14" s="8">
        <v>12</v>
      </c>
      <c r="C14" s="31" t="str">
        <f t="array" ref="C14">INDEX(Posiciones!$C$3:$C$50,SUMPRODUCT((Posiciones!$A$3:$A$50="K")*(Posiciones!$L$3:$L$50=2)*ROW(Posiciones!$A$3:$A$50))-2)</f>
        <v>Portugal</v>
      </c>
      <c r="D14" s="26">
        <v>2</v>
      </c>
      <c r="E14" s="26">
        <v>1</v>
      </c>
      <c r="F14" s="31" t="str">
        <f t="array" ref="F14">INDEX(Posiciones!$C$3:$C$50,SUMPRODUCT((Posiciones!$A$3:$A$50="L")*(Posiciones!$L$3:$L$50=2)*ROW(Posiciones!$A$3:$A$50))-2)</f>
        <v>Croacia</v>
      </c>
      <c r="G14" s="31" t="s">
        <v>14</v>
      </c>
      <c r="I14" s="23" t="s">
        <v>43</v>
      </c>
      <c r="J14" s="23" t="s">
        <v>44</v>
      </c>
    </row>
    <row r="15" spans="1:12" ht="15" customHeight="1" x14ac:dyDescent="0.25">
      <c r="A15" s="8" t="s">
        <v>13</v>
      </c>
      <c r="B15" s="8">
        <v>13</v>
      </c>
      <c r="C15" s="31" t="str">
        <f t="array" ref="C15">INDEX(Posiciones!$C$3:$C$50,SUMPRODUCT((Posiciones!$A$3:$A$50="B")*(Posiciones!$L$3:$L$50=1)*ROW(Posiciones!$A$3:$A$50))-2)</f>
        <v>Suiza</v>
      </c>
      <c r="D15" s="26">
        <v>2</v>
      </c>
      <c r="E15" s="26">
        <v>0</v>
      </c>
      <c r="F15" s="31" t="s">
        <v>45</v>
      </c>
      <c r="G15" s="31" t="s">
        <v>14</v>
      </c>
      <c r="I15" s="23" t="s">
        <v>46</v>
      </c>
      <c r="J15" s="23" t="s">
        <v>47</v>
      </c>
    </row>
    <row r="16" spans="1:12" ht="15" customHeight="1" x14ac:dyDescent="0.25">
      <c r="A16" s="8" t="s">
        <v>13</v>
      </c>
      <c r="B16" s="8">
        <v>14</v>
      </c>
      <c r="C16" s="31" t="str">
        <f t="array" ref="C16">INDEX(Posiciones!$C$3:$C$50,SUMPRODUCT((Posiciones!$A$3:$A$50="D")*(Posiciones!$L$3:$L$50=2)*ROW(Posiciones!$A$3:$A$50))-2)</f>
        <v>Australia</v>
      </c>
      <c r="D16" s="26">
        <v>1</v>
      </c>
      <c r="E16" s="26">
        <v>1</v>
      </c>
      <c r="F16" s="31" t="str">
        <f t="array" ref="F16">INDEX(Posiciones!$C$3:$C$50,SUMPRODUCT((Posiciones!$A$3:$A$50="G")*(Posiciones!$L$3:$L$50=2)*ROW(Posiciones!$A$3:$A$50))-2)</f>
        <v>Egipto</v>
      </c>
      <c r="G16" s="31" t="s">
        <v>14</v>
      </c>
      <c r="I16" s="23" t="s">
        <v>48</v>
      </c>
      <c r="J16" s="23" t="s">
        <v>49</v>
      </c>
      <c r="K16">
        <v>2</v>
      </c>
      <c r="L16">
        <v>4</v>
      </c>
    </row>
    <row r="17" spans="1:12" ht="15" customHeight="1" x14ac:dyDescent="0.25">
      <c r="A17" s="8" t="s">
        <v>13</v>
      </c>
      <c r="B17" s="8">
        <v>15</v>
      </c>
      <c r="C17" s="31" t="str">
        <f t="array" ref="C17">INDEX(Posiciones!$C$3:$C$50,SUMPRODUCT((Posiciones!$A$3:$A$50="J")*(Posiciones!$L$3:$L$50=1)*ROW(Posiciones!$A$3:$A$50))-2)</f>
        <v>Argentina</v>
      </c>
      <c r="D17" s="26">
        <v>3</v>
      </c>
      <c r="E17" s="26">
        <v>2</v>
      </c>
      <c r="F17" s="31" t="str">
        <f t="array" ref="F17">INDEX(Posiciones!$C$3:$C$50,SUMPRODUCT((Posiciones!$A$3:$A$50="H")*(Posiciones!$L$3:$L$50=2)*ROW(Posiciones!$A$3:$A$50))-2)</f>
        <v>Cabo Verde</v>
      </c>
      <c r="G17" s="31" t="s">
        <v>14</v>
      </c>
      <c r="I17" s="23" t="s">
        <v>50</v>
      </c>
      <c r="J17" s="23" t="s">
        <v>51</v>
      </c>
    </row>
    <row r="18" spans="1:12" ht="15" customHeight="1" x14ac:dyDescent="0.25">
      <c r="A18" s="8" t="s">
        <v>13</v>
      </c>
      <c r="B18" s="8">
        <v>16</v>
      </c>
      <c r="C18" s="31" t="str">
        <f t="array" ref="C18">INDEX(Posiciones!$C$3:$C$50,SUMPRODUCT((Posiciones!$A$3:$A$50="K")*(Posiciones!$L$3:$L$50=1)*ROW(Posiciones!$A$3:$A$50))-2)</f>
        <v>Colombia</v>
      </c>
      <c r="D18" s="26">
        <v>1</v>
      </c>
      <c r="E18" s="26">
        <v>0</v>
      </c>
      <c r="F18" s="31" t="s">
        <v>52</v>
      </c>
      <c r="G18" s="31" t="s">
        <v>14</v>
      </c>
      <c r="I18" s="23" t="s">
        <v>53</v>
      </c>
      <c r="J18" s="23" t="s">
        <v>54</v>
      </c>
    </row>
    <row r="19" spans="1:12" ht="15" customHeight="1" x14ac:dyDescent="0.25">
      <c r="A19" s="8" t="s">
        <v>55</v>
      </c>
      <c r="B19" s="8">
        <v>1</v>
      </c>
      <c r="C19" s="31" t="str">
        <f>IF(OR(C5="",F5=""),"",IF(OR(D5="",E5=""),"",IF(D5&gt;E5,C5,IF(D5&lt;E5,F5,IF(AND(K5&lt;&gt;"",L5&lt;&gt;""),IF(K5&gt;L5,C5,F5),"")))))</f>
        <v>Paraguay</v>
      </c>
      <c r="D19" s="26">
        <v>0</v>
      </c>
      <c r="E19" s="26">
        <v>1</v>
      </c>
      <c r="F19" s="31" t="str">
        <f>IF(OR(C8="",F8=""),"",IF(OR(D8="",E8=""),"",IF(D8&gt;E8,C8,IF(D8&lt;E8,F8,IF(AND(K8&lt;&gt;"",L8&lt;&gt;""),IF(K8&gt;L8,C8,F8),"")))))</f>
        <v>Francia</v>
      </c>
      <c r="G19" s="31" t="s">
        <v>56</v>
      </c>
    </row>
    <row r="20" spans="1:12" ht="15" customHeight="1" x14ac:dyDescent="0.25">
      <c r="A20" s="8" t="s">
        <v>55</v>
      </c>
      <c r="B20" s="8">
        <v>2</v>
      </c>
      <c r="C20" s="31" t="str">
        <f>IF(OR(C3="",F3=""),"",IF(OR(D3="",E3=""),"",IF(D3&gt;E3,C3,IF(D3&lt;E3,F3,IF(AND(K3&lt;&gt;"",L3&lt;&gt;""),IF(K3&gt;L3,C3,F3),"")))))</f>
        <v>Canadá</v>
      </c>
      <c r="D20" s="26">
        <v>0</v>
      </c>
      <c r="E20" s="26">
        <v>3</v>
      </c>
      <c r="F20" s="31" t="str">
        <f>IF(OR(C6="",F6=""),"",IF(OR(D6="",E6=""),"",IF(D6&gt;E6,C6,IF(D6&lt;E6,F6,IF(AND(K6&lt;&gt;"",L6&lt;&gt;""),IF(K6&gt;L6,C6,F6),"")))))</f>
        <v>Marruecos</v>
      </c>
      <c r="G20" s="31" t="s">
        <v>56</v>
      </c>
    </row>
    <row r="21" spans="1:12" ht="15" customHeight="1" x14ac:dyDescent="0.25">
      <c r="A21" s="8" t="s">
        <v>55</v>
      </c>
      <c r="B21" s="8">
        <v>3</v>
      </c>
      <c r="C21" s="31" t="str">
        <f>IF(OR(C14="",F14=""),"",IF(OR(D14="",E14=""),"",IF(D14&gt;E14,C14,IF(D14&lt;E14,F14,IF(AND(K14&lt;&gt;"",L14&lt;&gt;""),IF(K14&gt;L14,C14,F14),"")))))</f>
        <v>Portugal</v>
      </c>
      <c r="D21" s="26">
        <v>0</v>
      </c>
      <c r="E21" s="26">
        <v>1</v>
      </c>
      <c r="F21" s="31" t="str">
        <f>IF(OR(C13="",F13=""),"",IF(OR(D13="",E13=""),"",IF(D13&gt;E13,C13,IF(D13&lt;E13,F13,IF(AND(K13&lt;&gt;"",L13&lt;&gt;""),IF(K13&gt;L13,C13,F13),"")))))</f>
        <v>España</v>
      </c>
      <c r="G21" s="31" t="s">
        <v>57</v>
      </c>
    </row>
    <row r="22" spans="1:12" ht="15" customHeight="1" x14ac:dyDescent="0.25">
      <c r="A22" s="8" t="s">
        <v>55</v>
      </c>
      <c r="B22" s="8">
        <v>4</v>
      </c>
      <c r="C22" s="31" t="str">
        <f>IF(OR(C12="",F12=""),"",IF(OR(D12="",E12=""),"",IF(D12&gt;E12,C12,IF(D12&lt;E12,F12,IF(AND(K12&lt;&gt;"",L12&lt;&gt;""),IF(K12&gt;L12,C12,F12),"")))))</f>
        <v>Estados Unidos</v>
      </c>
      <c r="D22" s="26">
        <v>1</v>
      </c>
      <c r="E22" s="26">
        <v>4</v>
      </c>
      <c r="F22" s="31" t="str">
        <f>IF(OR(C11="",F11=""),"",IF(OR(D11="",E11=""),"",IF(D11&gt;E11,C11,IF(D11&lt;E11,F11,IF(AND(K11&lt;&gt;"",L11&lt;&gt;""),IF(K11&gt;L11,C11,F11),"")))))</f>
        <v>Bélgica</v>
      </c>
      <c r="G22" s="31" t="s">
        <v>57</v>
      </c>
    </row>
    <row r="23" spans="1:12" ht="15" customHeight="1" x14ac:dyDescent="0.25">
      <c r="A23" s="8" t="s">
        <v>55</v>
      </c>
      <c r="B23" s="8">
        <v>5</v>
      </c>
      <c r="C23" s="31" t="str">
        <f>IF(OR(C4="",F4=""),"",IF(OR(D4="",E4=""),"",IF(D4&gt;E4,C4,IF(D4&lt;E4,F4,IF(AND(K4&lt;&gt;"",L4&lt;&gt;""),IF(K4&gt;L4,C4,F4),"")))))</f>
        <v>Brasil</v>
      </c>
      <c r="D23" s="26">
        <v>1</v>
      </c>
      <c r="E23" s="26">
        <v>2</v>
      </c>
      <c r="F23" s="31" t="str">
        <f>IF(OR(C7="",F7=""),"",IF(OR(D7="",E7=""),"",IF(D7&gt;E7,C7,IF(D7&lt;E7,F7,IF(AND(K7&lt;&gt;"",L7&lt;&gt;""),IF(K7&gt;L7,C7,F7),"")))))</f>
        <v>Noruega</v>
      </c>
      <c r="G23" s="31" t="s">
        <v>56</v>
      </c>
    </row>
    <row r="24" spans="1:12" ht="15" customHeight="1" x14ac:dyDescent="0.25">
      <c r="A24" s="8" t="s">
        <v>55</v>
      </c>
      <c r="B24" s="8">
        <v>6</v>
      </c>
      <c r="C24" s="31" t="str">
        <f>IF(OR(C9="",F9=""),"",IF(OR(D9="",E9=""),"",IF(D9&gt;E9,C9,IF(D9&lt;E9,F9,IF(AND(K9&lt;&gt;"",L9&lt;&gt;""),IF(K9&gt;L9,C9,F9),"")))))</f>
        <v>México</v>
      </c>
      <c r="D24" s="26">
        <v>2</v>
      </c>
      <c r="E24" s="26">
        <v>3</v>
      </c>
      <c r="F24" s="31" t="str">
        <f>IF(OR(C10="",F10=""),"",IF(OR(D10="",E10=""),"",IF(D10&gt;E10,C10,IF(D10&lt;E10,F10,IF(AND(K10&lt;&gt;"",L10&lt;&gt;""),IF(K10&gt;L10,C10,F10),"")))))</f>
        <v>Inglaterra</v>
      </c>
      <c r="G24" s="31" t="s">
        <v>56</v>
      </c>
    </row>
    <row r="25" spans="1:12" ht="15" customHeight="1" x14ac:dyDescent="0.25">
      <c r="A25" s="8" t="s">
        <v>55</v>
      </c>
      <c r="B25" s="8">
        <v>7</v>
      </c>
      <c r="C25" s="31" t="str">
        <f>IF(OR(C17="",F17=""),"",IF(OR(D17="",E17=""),"",IF(D17&gt;E17,C17,IF(D17&lt;E17,F17,IF(AND(K17&lt;&gt;"",L17&lt;&gt;""),IF(K17&gt;L17,C17,F17),"")))))</f>
        <v>Argentina</v>
      </c>
      <c r="D25" s="26">
        <v>3</v>
      </c>
      <c r="E25" s="26">
        <v>2</v>
      </c>
      <c r="F25" s="31" t="str">
        <f>IF(OR(C16="",F16=""),"",IF(OR(D16="",E16=""),"",IF(D16&gt;E16,C16,IF(D16&lt;E16,F16,IF(AND(K16&lt;&gt;"",L16&lt;&gt;""),IF(K16&gt;L16,C16,F16),"")))))</f>
        <v>Egipto</v>
      </c>
      <c r="G25" s="31" t="s">
        <v>57</v>
      </c>
    </row>
    <row r="26" spans="1:12" ht="15" customHeight="1" x14ac:dyDescent="0.25">
      <c r="A26" s="8" t="s">
        <v>55</v>
      </c>
      <c r="B26" s="8">
        <v>8</v>
      </c>
      <c r="C26" s="31" t="str">
        <f>IF(OR(C15="",F15=""),"",IF(OR(D15="",E15=""),"",IF(D15&gt;E15,C15,IF(D15&lt;E15,F15,IF(AND(K15&lt;&gt;"",L15&lt;&gt;""),IF(K15&gt;L15,C15,F15),"")))))</f>
        <v>Suiza</v>
      </c>
      <c r="D26" s="26">
        <v>0</v>
      </c>
      <c r="E26" s="26">
        <v>0</v>
      </c>
      <c r="F26" s="31" t="str">
        <f>IF(OR(C18="",F18=""),"",IF(OR(D18="",E18=""),"",IF(D18&gt;E18,C18,IF(D18&lt;E18,F18,IF(AND(K18&lt;&gt;"",L18&lt;&gt;""),IF(K18&gt;L18,C18,F18),"")))))</f>
        <v>Colombia</v>
      </c>
      <c r="G26" s="31" t="s">
        <v>57</v>
      </c>
      <c r="K26">
        <v>4</v>
      </c>
      <c r="L26">
        <v>3</v>
      </c>
    </row>
    <row r="27" spans="1:12" ht="15" customHeight="1" x14ac:dyDescent="0.25">
      <c r="A27" s="8" t="s">
        <v>58</v>
      </c>
      <c r="B27" s="8">
        <v>1</v>
      </c>
      <c r="C27" s="31" t="str">
        <f>IF(OR(C19="",F19=""),"",IF(OR(D19="",E19=""),"",IF(D19&gt;E19,C19,IF(D19&lt;E19,F19,IF(AND(K19&lt;&gt;"",L19&lt;&gt;""),IF(K19&gt;L19,C19,F19),"")))))</f>
        <v>Francia</v>
      </c>
      <c r="D27" s="26">
        <v>2</v>
      </c>
      <c r="E27" s="26">
        <v>0</v>
      </c>
      <c r="F27" s="31" t="str">
        <f>IF(OR(C20="",F20=""),"",IF(OR(D20="",E20=""),"",IF(D20&gt;E20,C20,IF(D20&lt;E20,F20,IF(AND(K20&lt;&gt;"",L20&lt;&gt;""),IF(K20&gt;L20,C20,F20),"")))))</f>
        <v>Marruecos</v>
      </c>
      <c r="G27" s="31" t="s">
        <v>57</v>
      </c>
    </row>
    <row r="28" spans="1:12" ht="15" customHeight="1" x14ac:dyDescent="0.25">
      <c r="A28" s="8" t="s">
        <v>58</v>
      </c>
      <c r="B28" s="8">
        <v>2</v>
      </c>
      <c r="C28" s="31" t="str">
        <f>IF(OR(C21="",F21=""),"",IF(OR(D21="",E21=""),"",IF(D21&gt;E21,C21,IF(D21&lt;E21,F21,IF(AND(K21&lt;&gt;"",L21&lt;&gt;""),IF(K21&gt;L21,C21,F21),"")))))</f>
        <v>España</v>
      </c>
      <c r="D28" s="26"/>
      <c r="E28" s="26"/>
      <c r="F28" s="31" t="str">
        <f>IF(OR(C22="",F22=""),"",IF(OR(D22="",E22=""),"",IF(D22&gt;E22,C22,IF(D22&lt;E22,F22,IF(AND(K22&lt;&gt;"",L22&lt;&gt;""),IF(K22&gt;L22,C22,F22),"")))))</f>
        <v>Bélgica</v>
      </c>
      <c r="G28" s="31" t="s">
        <v>57</v>
      </c>
    </row>
    <row r="29" spans="1:12" ht="15" customHeight="1" x14ac:dyDescent="0.25">
      <c r="A29" s="8" t="s">
        <v>58</v>
      </c>
      <c r="B29" s="8">
        <v>3</v>
      </c>
      <c r="C29" s="31" t="str">
        <f>IF(OR(C23="",F23=""),"",IF(OR(D23="",E23=""),"",IF(D23&gt;E23,C23,IF(D23&lt;E23,F23,IF(AND(K23&lt;&gt;"",L23&lt;&gt;""),IF(K23&gt;L23,C23,F23),"")))))</f>
        <v>Noruega</v>
      </c>
      <c r="D29" s="26"/>
      <c r="E29" s="26"/>
      <c r="F29" s="31" t="str">
        <f>IF(OR(C24="",F24=""),"",IF(OR(D24="",E24=""),"",IF(D24&gt;E24,C24,IF(D24&lt;E24,F24,IF(AND(K24&lt;&gt;"",L24&lt;&gt;""),IF(K24&gt;L24,C24,F24),"")))))</f>
        <v>Inglaterra</v>
      </c>
      <c r="G29" s="31" t="s">
        <v>57</v>
      </c>
    </row>
    <row r="30" spans="1:12" ht="15" customHeight="1" x14ac:dyDescent="0.25">
      <c r="A30" s="8" t="s">
        <v>58</v>
      </c>
      <c r="B30" s="8">
        <v>4</v>
      </c>
      <c r="C30" s="31" t="str">
        <f>IF(OR(C25="",F25=""),"",IF(OR(D25="",E25=""),"",IF(D25&gt;E25,C25,IF(D25&lt;E25,F25,IF(AND(K25&lt;&gt;"",L25&lt;&gt;""),IF(K25&gt;L25,C25,F25),"")))))</f>
        <v>Argentina</v>
      </c>
      <c r="D30" s="26"/>
      <c r="E30" s="26"/>
      <c r="F30" s="31" t="str">
        <f>IF(OR(C26="",F26=""),"",IF(OR(D26="",E26=""),"",IF(D26&gt;E26,C26,IF(D26&lt;E26,F26,IF(AND(K26&lt;&gt;"",L26&lt;&gt;""),IF(K26&gt;L26,C26,F26),"")))))</f>
        <v>Suiza</v>
      </c>
      <c r="G30" s="31" t="s">
        <v>57</v>
      </c>
    </row>
    <row r="31" spans="1:12" ht="15" customHeight="1" x14ac:dyDescent="0.25">
      <c r="A31" s="8" t="s">
        <v>59</v>
      </c>
      <c r="B31" s="8">
        <v>1</v>
      </c>
      <c r="C31" s="31" t="str">
        <f>IF(OR(C27="",F27=""),"",IF(OR(D27="",E27=""),"",IF(D27&gt;E27,C27,IF(D27&lt;E27,F27,IF(AND(K27&lt;&gt;"",L27&lt;&gt;""),IF(K27&gt;L27,C27,F27),"")))))</f>
        <v>Francia</v>
      </c>
      <c r="D31" s="26"/>
      <c r="E31" s="26"/>
      <c r="F31" s="31" t="str">
        <f>IF(OR(C28="",F28=""),"",IF(OR(D28="",E28=""),"",IF(D28&gt;E28,C28,IF(D28&lt;E28,F28,IF(AND(K28&lt;&gt;"",L28&lt;&gt;""),IF(K28&gt;L28,C28,F28),"")))))</f>
        <v/>
      </c>
      <c r="G31" s="31" t="s">
        <v>57</v>
      </c>
    </row>
    <row r="32" spans="1:12" ht="15" customHeight="1" x14ac:dyDescent="0.25">
      <c r="A32" s="8" t="s">
        <v>59</v>
      </c>
      <c r="B32" s="8">
        <v>2</v>
      </c>
      <c r="C32" s="31" t="str">
        <f>IF(OR(C29="",F29=""),"",IF(OR(D29="",E29=""),"",IF(D29&gt;E29,C29,IF(D29&lt;E29,F29,IF(AND(K29&lt;&gt;"",L29&lt;&gt;""),IF(K29&gt;L29,C29,F29),"")))))</f>
        <v/>
      </c>
      <c r="D32" s="26"/>
      <c r="E32" s="26"/>
      <c r="F32" s="31" t="str">
        <f>IF(OR(C30="",F30=""),"",IF(OR(D30="",E30=""),"",IF(D30&gt;E30,C30,IF(D30&lt;E30,F30,IF(AND(K30&lt;&gt;"",L30&lt;&gt;""),IF(K30&gt;L30,C30,F30),"")))))</f>
        <v/>
      </c>
      <c r="G32" s="31" t="s">
        <v>57</v>
      </c>
    </row>
    <row r="33" spans="1:7" ht="15" customHeight="1" x14ac:dyDescent="0.25">
      <c r="A33" s="8" t="s">
        <v>60</v>
      </c>
      <c r="B33" s="8">
        <v>1</v>
      </c>
      <c r="C33" s="31" t="str">
        <f>IF(OR(C31="",F31=""),"",IF(OR(D31="",E31=""),"",IF(D31&gt;E31,F31,IF(D31&lt;E31,C31,IF(AND(K31&lt;&gt;"",L31&lt;&gt;""),IF(K31&gt;L31,F31,C31),"")))))</f>
        <v/>
      </c>
      <c r="D33" s="26"/>
      <c r="E33" s="26"/>
      <c r="F33" s="31" t="str">
        <f>IF(OR(C32="",F32=""),"",IF(OR(D32="",E32=""),"",IF(D32&gt;E32,F32,IF(D32&lt;E32,C32,IF(AND(K32&lt;&gt;"",L32&lt;&gt;""),IF(K32&gt;L32,F32,C32),"")))))</f>
        <v/>
      </c>
      <c r="G33" s="31" t="s">
        <v>57</v>
      </c>
    </row>
    <row r="34" spans="1:7" ht="15" customHeight="1" x14ac:dyDescent="0.25">
      <c r="A34" s="8" t="s">
        <v>61</v>
      </c>
      <c r="B34" s="8">
        <v>1</v>
      </c>
      <c r="C34" s="31" t="str">
        <f>IF(OR(C31="",F31=""),"",IF(OR(D31="",E31=""),"",IF(D31&gt;E31,C31,IF(D31&lt;E31,F31,IF(AND(K31&lt;&gt;"",L31&lt;&gt;""),IF(K31&gt;L31,C31,F31),"")))))</f>
        <v/>
      </c>
      <c r="D34" s="26"/>
      <c r="E34" s="26"/>
      <c r="F34" s="31" t="str">
        <f>IF(OR(C32="",F32=""),"",IF(OR(D32="",E32=""),"",IF(D32&gt;E32,C32,IF(D32&lt;E32,F32,IF(AND(K32&lt;&gt;"",L32&lt;&gt;""),IF(K32&gt;L32,C32,F32),"")))))</f>
        <v/>
      </c>
      <c r="G34" s="31" t="s">
        <v>57</v>
      </c>
    </row>
    <row r="35" spans="1:7" ht="15.75" customHeight="1" x14ac:dyDescent="0.25"/>
    <row r="36" spans="1:7" ht="15" customHeight="1" x14ac:dyDescent="0.25">
      <c r="A36" s="32" t="s">
        <v>62</v>
      </c>
      <c r="B36" s="33"/>
      <c r="C36" s="33"/>
      <c r="D36" s="33"/>
      <c r="E36" s="33"/>
      <c r="F36" s="33"/>
      <c r="G36" s="33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36:G36"/>
    <mergeCell ref="A1:G1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baseColWidth="10" defaultColWidth="14.42578125" defaultRowHeight="15" customHeight="1" x14ac:dyDescent="0.25"/>
  <cols>
    <col min="1" max="26" width="9.140625" customWidth="1"/>
  </cols>
  <sheetData>
    <row r="1" spans="1:4" x14ac:dyDescent="0.25">
      <c r="A1" s="27" t="s">
        <v>454</v>
      </c>
    </row>
    <row r="2" spans="1:4" x14ac:dyDescent="0.25">
      <c r="A2" s="27" t="s">
        <v>455</v>
      </c>
      <c r="B2" s="27" t="s">
        <v>110</v>
      </c>
      <c r="C2" s="27" t="s">
        <v>456</v>
      </c>
      <c r="D2" s="27" t="s">
        <v>457</v>
      </c>
    </row>
    <row r="3" spans="1:4" x14ac:dyDescent="0.25">
      <c r="A3" s="23" t="s">
        <v>458</v>
      </c>
      <c r="B3" s="23" t="s">
        <v>119</v>
      </c>
      <c r="C3" s="23" t="s">
        <v>459</v>
      </c>
      <c r="D3" s="23">
        <v>2240</v>
      </c>
    </row>
    <row r="4" spans="1:4" x14ac:dyDescent="0.25">
      <c r="A4" s="23" t="s">
        <v>460</v>
      </c>
      <c r="B4" s="23" t="s">
        <v>119</v>
      </c>
      <c r="C4" s="23" t="s">
        <v>461</v>
      </c>
      <c r="D4" s="23">
        <v>1560</v>
      </c>
    </row>
    <row r="5" spans="1:4" x14ac:dyDescent="0.25">
      <c r="A5" s="23" t="s">
        <v>462</v>
      </c>
      <c r="B5" s="23" t="s">
        <v>119</v>
      </c>
      <c r="C5" s="23" t="s">
        <v>463</v>
      </c>
      <c r="D5" s="23">
        <v>500</v>
      </c>
    </row>
    <row r="6" spans="1:4" x14ac:dyDescent="0.25">
      <c r="A6" s="23" t="s">
        <v>464</v>
      </c>
      <c r="B6" s="23" t="s">
        <v>134</v>
      </c>
      <c r="C6" s="23" t="s">
        <v>465</v>
      </c>
      <c r="D6" s="23">
        <v>76</v>
      </c>
    </row>
    <row r="7" spans="1:4" x14ac:dyDescent="0.25">
      <c r="A7" s="23" t="s">
        <v>466</v>
      </c>
      <c r="B7" s="23" t="s">
        <v>134</v>
      </c>
      <c r="C7" s="23" t="s">
        <v>467</v>
      </c>
      <c r="D7" s="23">
        <v>0</v>
      </c>
    </row>
    <row r="8" spans="1:4" x14ac:dyDescent="0.25">
      <c r="A8" s="23" t="s">
        <v>468</v>
      </c>
      <c r="B8" s="23" t="s">
        <v>152</v>
      </c>
      <c r="C8" s="23" t="s">
        <v>469</v>
      </c>
      <c r="D8" s="23">
        <v>3</v>
      </c>
    </row>
    <row r="9" spans="1:4" x14ac:dyDescent="0.25">
      <c r="A9" s="23" t="s">
        <v>470</v>
      </c>
      <c r="B9" s="23" t="s">
        <v>152</v>
      </c>
      <c r="C9" s="23" t="s">
        <v>471</v>
      </c>
      <c r="D9" s="23">
        <v>150</v>
      </c>
    </row>
    <row r="10" spans="1:4" x14ac:dyDescent="0.25">
      <c r="A10" s="23" t="s">
        <v>472</v>
      </c>
      <c r="B10" s="23" t="s">
        <v>152</v>
      </c>
      <c r="C10" s="23" t="s">
        <v>473</v>
      </c>
      <c r="D10" s="23">
        <v>30</v>
      </c>
    </row>
    <row r="11" spans="1:4" x14ac:dyDescent="0.25">
      <c r="A11" s="23" t="s">
        <v>474</v>
      </c>
      <c r="B11" s="23" t="s">
        <v>152</v>
      </c>
      <c r="C11" s="23" t="s">
        <v>475</v>
      </c>
      <c r="D11" s="23">
        <v>270</v>
      </c>
    </row>
    <row r="12" spans="1:4" x14ac:dyDescent="0.25">
      <c r="A12" s="23" t="s">
        <v>476</v>
      </c>
      <c r="B12" s="23" t="s">
        <v>152</v>
      </c>
      <c r="C12" s="23" t="s">
        <v>477</v>
      </c>
      <c r="D12" s="23">
        <v>5</v>
      </c>
    </row>
    <row r="13" spans="1:4" x14ac:dyDescent="0.25">
      <c r="A13" s="23" t="s">
        <v>478</v>
      </c>
      <c r="B13" s="23" t="s">
        <v>152</v>
      </c>
      <c r="C13" s="23" t="s">
        <v>479</v>
      </c>
      <c r="D13" s="23">
        <v>15</v>
      </c>
    </row>
    <row r="14" spans="1:4" x14ac:dyDescent="0.25">
      <c r="A14" s="23" t="s">
        <v>480</v>
      </c>
      <c r="B14" s="23" t="s">
        <v>152</v>
      </c>
      <c r="C14" s="23" t="s">
        <v>481</v>
      </c>
      <c r="D14" s="23">
        <v>12</v>
      </c>
    </row>
    <row r="15" spans="1:4" x14ac:dyDescent="0.25">
      <c r="A15" s="23" t="s">
        <v>482</v>
      </c>
      <c r="B15" s="23" t="s">
        <v>152</v>
      </c>
      <c r="C15" s="23" t="s">
        <v>483</v>
      </c>
      <c r="D15" s="23">
        <v>320</v>
      </c>
    </row>
    <row r="16" spans="1:4" x14ac:dyDescent="0.25">
      <c r="A16" s="23" t="s">
        <v>484</v>
      </c>
      <c r="B16" s="23" t="s">
        <v>152</v>
      </c>
      <c r="C16" s="23" t="s">
        <v>485</v>
      </c>
      <c r="D16" s="23">
        <v>30</v>
      </c>
    </row>
    <row r="17" spans="1:4" x14ac:dyDescent="0.25">
      <c r="A17" s="23" t="s">
        <v>486</v>
      </c>
      <c r="B17" s="23" t="s">
        <v>152</v>
      </c>
      <c r="C17" s="23" t="s">
        <v>487</v>
      </c>
      <c r="D17" s="23">
        <v>2</v>
      </c>
    </row>
    <row r="18" spans="1:4" x14ac:dyDescent="0.25">
      <c r="A18" s="23" t="s">
        <v>488</v>
      </c>
      <c r="B18" s="23" t="s">
        <v>152</v>
      </c>
      <c r="C18" s="23" t="s">
        <v>489</v>
      </c>
      <c r="D18" s="23">
        <v>30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Léeme</vt:lpstr>
      <vt:lpstr>Selecciones</vt:lpstr>
      <vt:lpstr>Historial</vt:lpstr>
      <vt:lpstr>DTs</vt:lpstr>
      <vt:lpstr>Clasificatorias</vt:lpstr>
      <vt:lpstr>Predictores_país</vt:lpstr>
      <vt:lpstr>Fixture_Grupos</vt:lpstr>
      <vt:lpstr>Posiciones</vt:lpstr>
      <vt:lpstr>Eliminatorias</vt:lpstr>
      <vt:lpstr>Sedes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RIVERTI SANTIAGO</cp:lastModifiedBy>
  <dcterms:created xsi:type="dcterms:W3CDTF">2026-06-24T20:52:04Z</dcterms:created>
  <dcterms:modified xsi:type="dcterms:W3CDTF">2026-07-10T15:15:50Z</dcterms:modified>
</cp:coreProperties>
</file>